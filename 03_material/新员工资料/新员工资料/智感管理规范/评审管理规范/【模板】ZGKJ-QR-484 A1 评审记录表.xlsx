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模板使用说明" sheetId="1" r:id="rId1"/>
    <sheet name="示例" sheetId="2" r:id="rId2"/>
    <sheet name="模板" sheetId="3" r:id="rId3"/>
  </sheets>
  <calcPr calcId="144525" concurrentCalc="0"/>
</workbook>
</file>

<file path=xl/comments1.xml><?xml version="1.0" encoding="utf-8"?>
<comments xmlns="http://schemas.openxmlformats.org/spreadsheetml/2006/main">
  <authors>
    <author>作者</author>
  </authors>
  <commentList>
    <comment ref="G4" authorId="0">
      <text>
        <r>
          <rPr>
            <sz val="11"/>
            <color rgb="FF000000"/>
            <rFont val="宋体"/>
            <scheme val="minor"/>
            <charset val="0"/>
          </rPr>
          <t>规模数据</t>
        </r>
      </text>
    </comment>
    <comment ref="H4" authorId="0">
      <text>
        <r>
          <rPr>
            <b/>
            <sz val="9"/>
            <rFont val="宋体"/>
            <charset val="134"/>
          </rPr>
          <t>规模单位，如 “页”、pin、条</t>
        </r>
      </text>
    </comment>
    <comment ref="C5" authorId="0">
      <text>
        <r>
          <rPr>
            <b/>
            <sz val="9"/>
            <rFont val="宋体"/>
            <charset val="134"/>
          </rPr>
          <t>评审人数*评审时间（H)</t>
        </r>
        <r>
          <rPr>
            <sz val="9"/>
            <rFont val="宋体"/>
            <charset val="134"/>
          </rPr>
          <t xml:space="preserve">
</t>
        </r>
      </text>
    </comment>
    <comment ref="D6" authorId="0">
      <text>
        <r>
          <rPr>
            <b/>
            <sz val="9"/>
            <rFont val="宋体"/>
            <charset val="134"/>
          </rPr>
          <t>此次填写单位，分子为“个”，分母单位与规模保持一致</t>
        </r>
      </text>
    </comment>
    <comment ref="D9" authorId="0">
      <text>
        <r>
          <rPr>
            <b/>
            <sz val="9"/>
            <rFont val="宋体"/>
            <charset val="134"/>
          </rPr>
          <t>通过：</t>
        </r>
        <r>
          <rPr>
            <sz val="9"/>
            <rFont val="宋体"/>
            <charset val="134"/>
          </rPr>
          <t xml:space="preserve">正常跟踪遗留问题闭环即可；
</t>
        </r>
        <r>
          <rPr>
            <b/>
            <sz val="9"/>
            <rFont val="宋体"/>
            <charset val="134"/>
          </rPr>
          <t>有条件通过：</t>
        </r>
        <r>
          <rPr>
            <sz val="9"/>
            <rFont val="宋体"/>
            <charset val="134"/>
          </rPr>
          <t>有待决策项时，需完成决策。</t>
        </r>
        <r>
          <rPr>
            <b/>
            <sz val="9"/>
            <rFont val="宋体"/>
            <charset val="134"/>
          </rPr>
          <t xml:space="preserve">
不通过：</t>
        </r>
        <r>
          <rPr>
            <sz val="9"/>
            <rFont val="宋体"/>
            <charset val="134"/>
          </rPr>
          <t>需要重新组织评审会议</t>
        </r>
      </text>
    </comment>
  </commentList>
</comments>
</file>

<file path=xl/comments2.xml><?xml version="1.0" encoding="utf-8"?>
<comments xmlns="http://schemas.openxmlformats.org/spreadsheetml/2006/main">
  <authors>
    <author>作者</author>
  </authors>
  <commentList>
    <comment ref="G4" authorId="0">
      <text>
        <r>
          <rPr>
            <sz val="11"/>
            <color rgb="FF000000"/>
            <rFont val="宋体"/>
            <scheme val="minor"/>
            <charset val="0"/>
          </rPr>
          <t>填规模数据</t>
        </r>
      </text>
    </comment>
    <comment ref="H4" authorId="0">
      <text>
        <r>
          <rPr>
            <b/>
            <sz val="9"/>
            <rFont val="宋体"/>
            <charset val="134"/>
          </rPr>
          <t>规模单位，如 “页”、pin、条</t>
        </r>
      </text>
    </comment>
    <comment ref="C5" authorId="0">
      <text>
        <r>
          <rPr>
            <b/>
            <sz val="9"/>
            <rFont val="宋体"/>
            <charset val="134"/>
          </rPr>
          <t>评审人数*评审时间（H)</t>
        </r>
        <r>
          <rPr>
            <sz val="9"/>
            <rFont val="宋体"/>
            <charset val="134"/>
          </rPr>
          <t xml:space="preserve">
</t>
        </r>
      </text>
    </comment>
    <comment ref="D6" authorId="0">
      <text>
        <r>
          <rPr>
            <b/>
            <sz val="9"/>
            <rFont val="宋体"/>
            <charset val="134"/>
          </rPr>
          <t>此次填写单位，分子为“个”，分母单位与规模保持一致</t>
        </r>
      </text>
    </comment>
    <comment ref="D9" authorId="0">
      <text>
        <r>
          <rPr>
            <b/>
            <sz val="9"/>
            <rFont val="宋体"/>
            <charset val="134"/>
          </rPr>
          <t>通过：</t>
        </r>
        <r>
          <rPr>
            <sz val="9"/>
            <rFont val="宋体"/>
            <charset val="134"/>
          </rPr>
          <t xml:space="preserve">正常跟踪遗留问题闭环即可；
</t>
        </r>
        <r>
          <rPr>
            <b/>
            <sz val="9"/>
            <rFont val="宋体"/>
            <charset val="134"/>
          </rPr>
          <t>有条件通过：</t>
        </r>
        <r>
          <rPr>
            <sz val="9"/>
            <rFont val="宋体"/>
            <charset val="134"/>
          </rPr>
          <t>有待决策项时，需完成决策。</t>
        </r>
        <r>
          <rPr>
            <b/>
            <sz val="9"/>
            <rFont val="宋体"/>
            <charset val="134"/>
          </rPr>
          <t xml:space="preserve">
不通过：</t>
        </r>
        <r>
          <rPr>
            <sz val="9"/>
            <rFont val="宋体"/>
            <charset val="134"/>
          </rPr>
          <t>需要重新组织评审会议</t>
        </r>
      </text>
    </comment>
  </commentList>
</comments>
</file>

<file path=xl/comments3.xml><?xml version="1.0" encoding="utf-8"?>
<comments xmlns="http://schemas.openxmlformats.org/spreadsheetml/2006/main">
  <authors>
    <author>作者</author>
  </authors>
  <commentList>
    <comment ref="H5" authorId="0">
      <text>
        <r>
          <rPr>
            <sz val="11"/>
            <color rgb="FF000000"/>
            <rFont val="宋体"/>
            <scheme val="minor"/>
            <charset val="0"/>
          </rPr>
          <t>填规模数据</t>
        </r>
      </text>
    </comment>
    <comment ref="I5" authorId="0">
      <text>
        <r>
          <rPr>
            <b/>
            <sz val="9"/>
            <rFont val="宋体"/>
            <charset val="134"/>
          </rPr>
          <t>规模单位，如 “页”、pin、条</t>
        </r>
      </text>
    </comment>
    <comment ref="D6" authorId="0">
      <text>
        <r>
          <rPr>
            <b/>
            <sz val="9"/>
            <rFont val="宋体"/>
            <charset val="134"/>
          </rPr>
          <t>评审人数*评审时间（H)</t>
        </r>
        <r>
          <rPr>
            <sz val="9"/>
            <rFont val="宋体"/>
            <charset val="134"/>
          </rPr>
          <t xml:space="preserve">
</t>
        </r>
      </text>
    </comment>
    <comment ref="E7" authorId="0">
      <text>
        <r>
          <rPr>
            <b/>
            <sz val="9"/>
            <rFont val="宋体"/>
            <charset val="134"/>
          </rPr>
          <t>此次填写单位，分子为“个”，分母单位与规模保持一致</t>
        </r>
      </text>
    </comment>
    <comment ref="E10" authorId="0">
      <text>
        <r>
          <rPr>
            <b/>
            <sz val="9"/>
            <rFont val="宋体"/>
            <charset val="134"/>
          </rPr>
          <t>通过：</t>
        </r>
        <r>
          <rPr>
            <sz val="9"/>
            <rFont val="宋体"/>
            <charset val="134"/>
          </rPr>
          <t>正常跟踪遗留问题闭环即可；</t>
        </r>
        <r>
          <rPr>
            <b/>
            <sz val="9"/>
            <rFont val="宋体"/>
            <charset val="134"/>
          </rPr>
          <t xml:space="preserve">
不通过：</t>
        </r>
        <r>
          <rPr>
            <sz val="9"/>
            <rFont val="宋体"/>
            <charset val="134"/>
          </rPr>
          <t>需要重新组织评审会议</t>
        </r>
      </text>
    </comment>
  </commentList>
</comments>
</file>

<file path=xl/sharedStrings.xml><?xml version="1.0" encoding="utf-8"?>
<sst xmlns="http://schemas.openxmlformats.org/spreadsheetml/2006/main" count="158" uniqueCount="71">
  <si>
    <t>评审记录表</t>
  </si>
  <si>
    <t>建议：上会前，该表单由评审人汇总评审专家意见，针对意见做汇报。</t>
  </si>
  <si>
    <t>项目名称</t>
  </si>
  <si>
    <t>评审时间</t>
  </si>
  <si>
    <t>评审组织人</t>
  </si>
  <si>
    <t>评审次数</t>
  </si>
  <si>
    <t>首次评审</t>
  </si>
  <si>
    <t>注意：</t>
  </si>
  <si>
    <t>评审领域</t>
  </si>
  <si>
    <t>评审内容</t>
  </si>
  <si>
    <t>评审问题状态</t>
  </si>
  <si>
    <t>【评审领域】：硬件，结构，软件，算法、测试等</t>
  </si>
  <si>
    <t>评审类型</t>
  </si>
  <si>
    <t>上会评审</t>
  </si>
  <si>
    <t>评审规模</t>
  </si>
  <si>
    <t>页</t>
  </si>
  <si>
    <t>已关闭</t>
  </si>
  <si>
    <t>【评审内容】：参考《各领域评审活动指南》评审内容，比如硬件领域：硬件方案评审  新器件选型评审  原理图  PCB</t>
  </si>
  <si>
    <t>评审工作量（人时）</t>
  </si>
  <si>
    <t>发现问题个数</t>
  </si>
  <si>
    <t>进行中</t>
  </si>
  <si>
    <t>【评审规模】 数值和单位分别填写在G4,H4单元格。
（硬件举例：硬件方案：规模页码    新器件选型：器件个数     原理图，PCB :PIN数）</t>
  </si>
  <si>
    <t>缺陷密度</t>
  </si>
  <si>
    <t>评审效率(个/人时）</t>
  </si>
  <si>
    <t>待决策</t>
  </si>
  <si>
    <t>评审人员</t>
  </si>
  <si>
    <t>【评审类型】 只能下拉选项栏，二选一</t>
  </si>
  <si>
    <t>其他人员</t>
  </si>
  <si>
    <t>【其他人员】 比如项目经理，QA 不计入评审人数，</t>
  </si>
  <si>
    <t>评审结论</t>
  </si>
  <si>
    <r>
      <rPr>
        <sz val="11"/>
        <color theme="1"/>
        <rFont val="微软雅黑"/>
        <charset val="134"/>
      </rPr>
      <t xml:space="preserve"> 通过 </t>
    </r>
    <r>
      <rPr>
        <sz val="11"/>
        <color theme="1"/>
        <rFont val="宋体"/>
        <charset val="134"/>
      </rPr>
      <t>□</t>
    </r>
    <r>
      <rPr>
        <sz val="11"/>
        <color theme="1"/>
        <rFont val="微软雅黑"/>
        <charset val="134"/>
      </rPr>
      <t xml:space="preserve">
有条件通过</t>
    </r>
    <r>
      <rPr>
        <sz val="12"/>
        <color theme="1"/>
        <rFont val="宋体"/>
        <charset val="134"/>
      </rPr>
      <t>■</t>
    </r>
    <r>
      <rPr>
        <sz val="11"/>
        <color theme="1"/>
        <rFont val="微软雅黑"/>
        <charset val="134"/>
      </rPr>
      <t xml:space="preserve">   
不通过</t>
    </r>
    <r>
      <rPr>
        <sz val="11"/>
        <color theme="1"/>
        <rFont val="宋体"/>
        <charset val="134"/>
      </rPr>
      <t>□</t>
    </r>
  </si>
  <si>
    <t xml:space="preserve">【评审工作量（人时）】会议时间*评审人数，例如评审会议进行1小时，会议人数8人   评审工作量8，填写数值8（不能填写单位）
</t>
  </si>
  <si>
    <t>序号</t>
  </si>
  <si>
    <t>提出人</t>
  </si>
  <si>
    <t>所属领域</t>
  </si>
  <si>
    <t>提出时间</t>
  </si>
  <si>
    <t>问题描述</t>
  </si>
  <si>
    <t>责任人</t>
  </si>
  <si>
    <t>计划关闭时间</t>
  </si>
  <si>
    <t>实际关闭时间</t>
  </si>
  <si>
    <t>状态</t>
  </si>
  <si>
    <t xml:space="preserve">紫色填充的单元格不用填写，根据其它内容自动带出。如【发现问题个数】【缺陷密度】  【评审效率(个/人时）】  </t>
  </si>
  <si>
    <t>【问题描述】每一栏只描述一项问题。如一位提出人提出4个问题，那就记录到4行【问题描述】，提出人也是填写4行。（这样便于质量部统计评审人意见）</t>
  </si>
  <si>
    <t>【评审结论】须在会上形成是否通过的结论，如“通过”、“通过：附条件通过，后续待决策项须有明确结论”、“不通过：遗留问题待更改后二次评审”</t>
  </si>
  <si>
    <t>【计划关闭时间】填写项目经理确认过的完成时间，尽量在会上确认。</t>
  </si>
  <si>
    <t>【实际关闭时间】在最终结论填写前需要将该栏填完整。</t>
  </si>
  <si>
    <t>【状态】下拉选项栏：已关闭/进行中/待决策。该栏不可空，否则定为评审记录不完备。</t>
  </si>
  <si>
    <t>【提出人】：产品,项目,光学,硬件,结构,测试,质量,工程,软件等</t>
  </si>
  <si>
    <t>问题闭环确认：
(相关人员签字)</t>
  </si>
  <si>
    <t xml:space="preserve">张三，李四，王五               </t>
  </si>
  <si>
    <t xml:space="preserve">【问题闭环确认】如会上有未关闭问题，会后问题按计划时间闭环需要找问题提出人审核确认，电子签名。问题全部闭还后，打印纸档找资源组长签署确认（手签），再扫描在SVN存档。
                             </t>
  </si>
  <si>
    <t>ZC12A</t>
  </si>
  <si>
    <t xml:space="preserve">   徐振威  </t>
  </si>
  <si>
    <t>硬件</t>
  </si>
  <si>
    <t>硬件方案评审</t>
  </si>
  <si>
    <t xml:space="preserve">谢威    周浩  何林龙  张明龙   杨丽冬   马海东 </t>
  </si>
  <si>
    <t xml:space="preserve"> 佘海玲（QA）黄薇（PM)</t>
  </si>
  <si>
    <t xml:space="preserve"> 需跟踪遗留问题闭环，完成待决策问题的决策处理</t>
  </si>
  <si>
    <t>谢威</t>
  </si>
  <si>
    <t>问题一</t>
  </si>
  <si>
    <t>徐振威</t>
  </si>
  <si>
    <t>马海东</t>
  </si>
  <si>
    <t>问题二</t>
  </si>
  <si>
    <t>周浩</t>
  </si>
  <si>
    <t>问题三</t>
  </si>
  <si>
    <t>杨丽冬</t>
  </si>
  <si>
    <t>结构</t>
  </si>
  <si>
    <t>问题四</t>
  </si>
  <si>
    <t>问题五</t>
  </si>
  <si>
    <t>问题六</t>
  </si>
  <si>
    <r>
      <rPr>
        <b/>
        <sz val="11"/>
        <color theme="1"/>
        <rFont val="微软雅黑"/>
        <charset val="134"/>
      </rPr>
      <t xml:space="preserve">谢威，周浩，杨丽冬      </t>
    </r>
    <r>
      <rPr>
        <b/>
        <sz val="11"/>
        <color rgb="FFFF0000"/>
        <rFont val="微软雅黑"/>
        <charset val="134"/>
      </rPr>
      <t>马海东（手签）</t>
    </r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</si>
</sst>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</numFmts>
  <fonts count="32">
    <font>
      <sz val="11"/>
      <color theme="1"/>
      <name val="宋体"/>
      <charset val="134"/>
      <scheme val="minor"/>
    </font>
    <font>
      <b/>
      <sz val="20"/>
      <color theme="1"/>
      <name val="微软雅黑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9"/>
      <name val="Microsoft YaHei UI"/>
      <charset val="134"/>
    </font>
    <font>
      <b/>
      <sz val="9"/>
      <color rgb="FFFF0000"/>
      <name val="Microsoft YaHei U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1"/>
      <name val="宋体"/>
      <charset val="134"/>
    </font>
    <font>
      <sz val="12"/>
      <color theme="1"/>
      <name val="宋体"/>
      <charset val="134"/>
    </font>
    <font>
      <b/>
      <sz val="11"/>
      <color rgb="FFFF0000"/>
      <name val="微软雅黑"/>
      <charset val="134"/>
    </font>
    <font>
      <sz val="9"/>
      <name val="宋体"/>
      <charset val="134"/>
    </font>
    <font>
      <sz val="11"/>
      <color rgb="FF000000"/>
      <name val="宋体"/>
      <charset val="0"/>
      <scheme val="minor"/>
    </font>
    <font>
      <b/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7" borderId="11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11" borderId="12" applyNumberFormat="0" applyFont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3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3" fillId="0" borderId="14" applyNumberFormat="0" applyFill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19" fillId="15" borderId="15" applyNumberFormat="0" applyAlignment="0" applyProtection="0">
      <alignment vertical="center"/>
    </xf>
    <xf numFmtId="0" fontId="20" fillId="15" borderId="11" applyNumberFormat="0" applyAlignment="0" applyProtection="0">
      <alignment vertical="center"/>
    </xf>
    <xf numFmtId="0" fontId="21" fillId="16" borderId="16" applyNumberFormat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22" fillId="0" borderId="17" applyNumberFormat="0" applyFill="0" applyAlignment="0" applyProtection="0">
      <alignment vertical="center"/>
    </xf>
    <xf numFmtId="0" fontId="23" fillId="0" borderId="18" applyNumberFormat="0" applyFill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4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</cellStyleXfs>
  <cellXfs count="5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2" fillId="0" borderId="5" xfId="0" applyFont="1" applyFill="1" applyBorder="1" applyAlignment="1">
      <alignment horizontal="center" vertical="center"/>
    </xf>
    <xf numFmtId="176" fontId="3" fillId="3" borderId="2" xfId="0" applyNumberFormat="1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6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left" vertical="top"/>
    </xf>
    <xf numFmtId="0" fontId="3" fillId="0" borderId="5" xfId="0" applyFont="1" applyFill="1" applyBorder="1" applyAlignment="1">
      <alignment horizontal="left" vertical="top"/>
    </xf>
    <xf numFmtId="0" fontId="2" fillId="4" borderId="1" xfId="0" applyFont="1" applyFill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" xfId="0" applyFont="1" applyFill="1" applyBorder="1" applyAlignment="1">
      <alignment vertical="center"/>
    </xf>
    <xf numFmtId="0" fontId="2" fillId="0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/>
    </xf>
    <xf numFmtId="0" fontId="3" fillId="0" borderId="3" xfId="0" applyFont="1" applyFill="1" applyBorder="1" applyAlignment="1">
      <alignment horizontal="left" vertical="top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/>
    <xf numFmtId="0" fontId="0" fillId="0" borderId="0" xfId="0" applyAlignment="1">
      <alignment horizontal="center"/>
    </xf>
    <xf numFmtId="14" fontId="0" fillId="0" borderId="0" xfId="0" applyNumberFormat="1"/>
    <xf numFmtId="0" fontId="3" fillId="0" borderId="7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3" fillId="5" borderId="5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304800</xdr:colOff>
      <xdr:row>16</xdr:row>
      <xdr:rowOff>142875</xdr:rowOff>
    </xdr:from>
    <xdr:to>
      <xdr:col>10</xdr:col>
      <xdr:colOff>752475</xdr:colOff>
      <xdr:row>16</xdr:row>
      <xdr:rowOff>438150</xdr:rowOff>
    </xdr:to>
    <xdr:sp>
      <xdr:nvSpPr>
        <xdr:cNvPr id="2" name="文本框 1"/>
        <xdr:cNvSpPr txBox="1"/>
      </xdr:nvSpPr>
      <xdr:spPr>
        <a:xfrm>
          <a:off x="7516495" y="5899150"/>
          <a:ext cx="1521460" cy="295275"/>
        </a:xfrm>
        <a:prstGeom prst="rect">
          <a:avLst/>
        </a:prstGeom>
        <a:solidFill>
          <a:schemeClr val="accent1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zh-CN" altLang="en-US" sz="1100"/>
            <a:t>资源组长手签</a:t>
          </a:r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vmlDrawing" Target="../drawings/vmlDrawing2.vml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9"/>
  <sheetViews>
    <sheetView tabSelected="1" workbookViewId="0">
      <selection activeCell="C3" sqref="C3:D3"/>
    </sheetView>
  </sheetViews>
  <sheetFormatPr defaultColWidth="9" defaultRowHeight="13.5"/>
  <cols>
    <col min="1" max="1" width="7.36666666666667" style="41" customWidth="1"/>
    <col min="2" max="2" width="10.3666666666667" customWidth="1"/>
    <col min="3" max="3" width="11.0916666666667" customWidth="1"/>
    <col min="4" max="4" width="13.2666666666667" customWidth="1"/>
    <col min="5" max="6" width="11.0916666666667" customWidth="1"/>
    <col min="7" max="7" width="9.90833333333333" customWidth="1"/>
    <col min="8" max="8" width="8.36666666666667" style="42" customWidth="1"/>
    <col min="9" max="9" width="12.0916666666667" customWidth="1"/>
    <col min="10" max="10" width="14.0916666666667" customWidth="1"/>
    <col min="11" max="11" width="12.0916666666667" customWidth="1"/>
    <col min="12" max="12" width="11.6333333333333" customWidth="1"/>
    <col min="13" max="13" width="87.9083333333333" customWidth="1"/>
    <col min="14" max="14" width="10.6333333333333" customWidth="1"/>
  </cols>
  <sheetData>
    <row r="1" ht="25.5" customHeight="1" spans="1:1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48" t="s">
        <v>1</v>
      </c>
    </row>
    <row r="2" ht="25" customHeight="1" spans="1:13">
      <c r="A2" s="2" t="s">
        <v>2</v>
      </c>
      <c r="B2" s="2"/>
      <c r="C2" s="3"/>
      <c r="D2" s="3"/>
      <c r="E2" s="2" t="s">
        <v>3</v>
      </c>
      <c r="F2" s="2"/>
      <c r="G2" s="3"/>
      <c r="H2" s="3"/>
      <c r="I2" s="2" t="s">
        <v>4</v>
      </c>
      <c r="J2" s="35"/>
      <c r="K2" s="2" t="s">
        <v>5</v>
      </c>
      <c r="L2" s="3" t="s">
        <v>6</v>
      </c>
      <c r="M2" s="48" t="s">
        <v>7</v>
      </c>
    </row>
    <row r="3" ht="25" customHeight="1" spans="1:13">
      <c r="A3" s="2" t="s">
        <v>8</v>
      </c>
      <c r="B3" s="2"/>
      <c r="C3" s="4"/>
      <c r="D3" s="5"/>
      <c r="E3" s="2" t="s">
        <v>9</v>
      </c>
      <c r="F3" s="2"/>
      <c r="G3" s="43"/>
      <c r="H3" s="44"/>
      <c r="I3" s="11" t="s">
        <v>10</v>
      </c>
      <c r="J3" s="12"/>
      <c r="K3" s="12"/>
      <c r="L3" s="36"/>
      <c r="M3" s="48" t="s">
        <v>11</v>
      </c>
    </row>
    <row r="4" ht="25" customHeight="1" spans="1:13">
      <c r="A4" s="2" t="s">
        <v>12</v>
      </c>
      <c r="B4" s="2"/>
      <c r="C4" s="3" t="s">
        <v>13</v>
      </c>
      <c r="D4" s="3"/>
      <c r="E4" s="2" t="s">
        <v>14</v>
      </c>
      <c r="F4" s="6"/>
      <c r="G4" s="4">
        <v>20</v>
      </c>
      <c r="H4" s="5" t="s">
        <v>15</v>
      </c>
      <c r="I4" s="49" t="s">
        <v>16</v>
      </c>
      <c r="J4" s="50"/>
      <c r="K4" s="37">
        <f>COUNTIF(L:L,I4)</f>
        <v>2</v>
      </c>
      <c r="L4" s="37"/>
      <c r="M4" s="48" t="s">
        <v>17</v>
      </c>
    </row>
    <row r="5" ht="25" customHeight="1" spans="1:13">
      <c r="A5" s="6" t="s">
        <v>18</v>
      </c>
      <c r="B5" s="7"/>
      <c r="C5" s="8"/>
      <c r="D5" s="8"/>
      <c r="E5" s="9" t="s">
        <v>19</v>
      </c>
      <c r="F5" s="9"/>
      <c r="G5" s="45" t="str">
        <f>IF(B11="","",COUNTA(B11:B97))</f>
        <v/>
      </c>
      <c r="H5" s="46"/>
      <c r="I5" s="51" t="s">
        <v>20</v>
      </c>
      <c r="J5" s="50"/>
      <c r="K5" s="37">
        <f>COUNTIF(L:L,I5)</f>
        <v>1</v>
      </c>
      <c r="L5" s="37"/>
      <c r="M5" s="48" t="s">
        <v>21</v>
      </c>
    </row>
    <row r="6" ht="25" customHeight="1" spans="1:13">
      <c r="A6" s="11" t="s">
        <v>22</v>
      </c>
      <c r="B6" s="12"/>
      <c r="C6" s="47" t="str">
        <f>IFERROR(G5/G4,"")</f>
        <v/>
      </c>
      <c r="D6" s="14" t="str">
        <f>"个"&amp;"/"&amp;H4</f>
        <v>个/页</v>
      </c>
      <c r="E6" s="15" t="s">
        <v>23</v>
      </c>
      <c r="F6" s="16"/>
      <c r="G6" s="17" t="str">
        <f>IFERROR(G5/C5,"")</f>
        <v/>
      </c>
      <c r="H6" s="17"/>
      <c r="I6" s="51" t="s">
        <v>24</v>
      </c>
      <c r="J6" s="50"/>
      <c r="K6" s="37">
        <f>COUNTIF(L:L,I6)</f>
        <v>1</v>
      </c>
      <c r="L6" s="37"/>
      <c r="M6" s="48"/>
    </row>
    <row r="7" ht="25" customHeight="1" spans="1:13">
      <c r="A7" s="18" t="s">
        <v>25</v>
      </c>
      <c r="B7" s="18"/>
      <c r="C7" s="19"/>
      <c r="D7" s="19"/>
      <c r="E7" s="3"/>
      <c r="F7" s="3"/>
      <c r="G7" s="3"/>
      <c r="H7" s="3"/>
      <c r="I7" s="3"/>
      <c r="J7" s="3"/>
      <c r="K7" s="3"/>
      <c r="L7" s="3"/>
      <c r="M7" s="48" t="s">
        <v>26</v>
      </c>
    </row>
    <row r="8" ht="25" customHeight="1" spans="1:13">
      <c r="A8" s="20" t="s">
        <v>27</v>
      </c>
      <c r="B8" s="21"/>
      <c r="C8" s="21"/>
      <c r="D8" s="22"/>
      <c r="E8" s="4"/>
      <c r="F8" s="23"/>
      <c r="G8" s="23"/>
      <c r="H8" s="23"/>
      <c r="I8" s="23"/>
      <c r="J8" s="23"/>
      <c r="K8" s="23"/>
      <c r="L8" s="5"/>
      <c r="M8" s="48" t="s">
        <v>28</v>
      </c>
    </row>
    <row r="9" ht="72" customHeight="1" spans="1:13">
      <c r="A9" s="20" t="s">
        <v>29</v>
      </c>
      <c r="B9" s="21"/>
      <c r="C9" s="22"/>
      <c r="D9" s="24" t="s">
        <v>30</v>
      </c>
      <c r="E9" s="25"/>
      <c r="F9" s="26"/>
      <c r="G9" s="26"/>
      <c r="H9" s="26"/>
      <c r="I9" s="26"/>
      <c r="J9" s="26"/>
      <c r="K9" s="26"/>
      <c r="L9" s="38"/>
      <c r="M9" s="48" t="s">
        <v>31</v>
      </c>
    </row>
    <row r="10" ht="25" customHeight="1" spans="1:13">
      <c r="A10" s="18" t="s">
        <v>32</v>
      </c>
      <c r="B10" s="18" t="s">
        <v>33</v>
      </c>
      <c r="C10" s="18" t="s">
        <v>34</v>
      </c>
      <c r="D10" s="27" t="s">
        <v>35</v>
      </c>
      <c r="E10" s="18" t="s">
        <v>36</v>
      </c>
      <c r="F10" s="18"/>
      <c r="G10" s="18"/>
      <c r="H10" s="18"/>
      <c r="I10" s="18" t="s">
        <v>37</v>
      </c>
      <c r="J10" s="18" t="s">
        <v>38</v>
      </c>
      <c r="K10" s="18" t="s">
        <v>39</v>
      </c>
      <c r="L10" s="18" t="s">
        <v>40</v>
      </c>
      <c r="M10" s="48" t="s">
        <v>41</v>
      </c>
    </row>
    <row r="11" ht="30.75" customHeight="1" spans="1:13">
      <c r="A11" s="28">
        <v>1</v>
      </c>
      <c r="B11" s="29"/>
      <c r="C11" s="29"/>
      <c r="D11" s="29"/>
      <c r="E11" s="30"/>
      <c r="F11" s="31"/>
      <c r="G11" s="31"/>
      <c r="H11" s="39"/>
      <c r="I11" s="40"/>
      <c r="J11" s="29"/>
      <c r="K11" s="29"/>
      <c r="L11" s="28" t="s">
        <v>16</v>
      </c>
      <c r="M11" s="48" t="s">
        <v>42</v>
      </c>
    </row>
    <row r="12" ht="25" customHeight="1" spans="1:13">
      <c r="A12" s="28">
        <v>2</v>
      </c>
      <c r="B12" s="29"/>
      <c r="C12" s="29"/>
      <c r="D12" s="29"/>
      <c r="E12" s="30"/>
      <c r="F12" s="31"/>
      <c r="G12" s="31"/>
      <c r="H12" s="39"/>
      <c r="I12" s="40"/>
      <c r="J12" s="29"/>
      <c r="K12" s="29"/>
      <c r="L12" s="28" t="s">
        <v>20</v>
      </c>
      <c r="M12" s="48" t="s">
        <v>43</v>
      </c>
    </row>
    <row r="13" ht="25" customHeight="1" spans="1:13">
      <c r="A13" s="28">
        <v>3</v>
      </c>
      <c r="B13" s="29"/>
      <c r="C13" s="29"/>
      <c r="D13" s="29"/>
      <c r="E13" s="30"/>
      <c r="F13" s="31"/>
      <c r="G13" s="31"/>
      <c r="H13" s="39"/>
      <c r="I13" s="40"/>
      <c r="J13" s="29"/>
      <c r="K13" s="29"/>
      <c r="L13" s="28" t="s">
        <v>24</v>
      </c>
      <c r="M13" s="48" t="s">
        <v>44</v>
      </c>
    </row>
    <row r="14" ht="25" customHeight="1" spans="1:13">
      <c r="A14" s="28">
        <v>4</v>
      </c>
      <c r="B14" s="29"/>
      <c r="C14" s="29"/>
      <c r="D14" s="29"/>
      <c r="E14" s="30"/>
      <c r="F14" s="31"/>
      <c r="G14" s="31"/>
      <c r="H14" s="39"/>
      <c r="I14" s="40"/>
      <c r="J14" s="29"/>
      <c r="K14" s="29"/>
      <c r="L14" s="28" t="s">
        <v>16</v>
      </c>
      <c r="M14" s="48" t="s">
        <v>45</v>
      </c>
    </row>
    <row r="15" ht="25" customHeight="1" spans="1:13">
      <c r="A15" s="28">
        <v>5</v>
      </c>
      <c r="B15" s="29"/>
      <c r="C15" s="29"/>
      <c r="D15" s="29"/>
      <c r="E15" s="30"/>
      <c r="F15" s="31"/>
      <c r="G15" s="31"/>
      <c r="H15" s="39"/>
      <c r="I15" s="40"/>
      <c r="J15" s="29"/>
      <c r="K15" s="29"/>
      <c r="L15" s="28"/>
      <c r="M15" s="48" t="s">
        <v>46</v>
      </c>
    </row>
    <row r="16" ht="25" customHeight="1" spans="1:13">
      <c r="A16" s="28">
        <v>6</v>
      </c>
      <c r="B16" s="29"/>
      <c r="C16" s="29"/>
      <c r="D16" s="29"/>
      <c r="E16" s="30"/>
      <c r="F16" s="31"/>
      <c r="G16" s="31"/>
      <c r="H16" s="39"/>
      <c r="I16" s="40"/>
      <c r="J16" s="29"/>
      <c r="K16" s="29"/>
      <c r="L16" s="28"/>
      <c r="M16" s="48" t="s">
        <v>47</v>
      </c>
    </row>
    <row r="17" ht="44.25" customHeight="1" spans="1:13">
      <c r="A17" s="32" t="s">
        <v>48</v>
      </c>
      <c r="B17" s="33"/>
      <c r="C17" s="32" t="s">
        <v>49</v>
      </c>
      <c r="D17" s="34"/>
      <c r="E17" s="34"/>
      <c r="F17" s="34"/>
      <c r="G17" s="34"/>
      <c r="H17" s="34"/>
      <c r="I17" s="34"/>
      <c r="J17" s="34"/>
      <c r="K17" s="34"/>
      <c r="L17" s="33"/>
      <c r="M17" s="52" t="s">
        <v>50</v>
      </c>
    </row>
    <row r="18" ht="14.25" spans="13:13">
      <c r="M18" s="53"/>
    </row>
    <row r="19" ht="14.25" spans="13:13">
      <c r="M19" s="53"/>
    </row>
  </sheetData>
  <mergeCells count="42">
    <mergeCell ref="A1:L1"/>
    <mergeCell ref="A2:B2"/>
    <mergeCell ref="C2:D2"/>
    <mergeCell ref="E2:F2"/>
    <mergeCell ref="G2:H2"/>
    <mergeCell ref="A3:B3"/>
    <mergeCell ref="C3:D3"/>
    <mergeCell ref="E3:F3"/>
    <mergeCell ref="G3:H3"/>
    <mergeCell ref="I3:L3"/>
    <mergeCell ref="A4:B4"/>
    <mergeCell ref="C4:D4"/>
    <mergeCell ref="E4:F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E6:F6"/>
    <mergeCell ref="G6:H6"/>
    <mergeCell ref="I6:J6"/>
    <mergeCell ref="K6:L6"/>
    <mergeCell ref="A7:D7"/>
    <mergeCell ref="E7:L7"/>
    <mergeCell ref="A8:D8"/>
    <mergeCell ref="E8:L8"/>
    <mergeCell ref="A9:C9"/>
    <mergeCell ref="E9:L9"/>
    <mergeCell ref="E10:H10"/>
    <mergeCell ref="E11:H11"/>
    <mergeCell ref="E12:H12"/>
    <mergeCell ref="E13:H13"/>
    <mergeCell ref="E14:H14"/>
    <mergeCell ref="E15:H15"/>
    <mergeCell ref="E16:H16"/>
    <mergeCell ref="A17:B17"/>
    <mergeCell ref="C17:L17"/>
    <mergeCell ref="M5:M6"/>
  </mergeCells>
  <dataValidations count="5">
    <dataValidation type="list" allowBlank="1" showInputMessage="1" showErrorMessage="1" sqref="I18:I1048576">
      <formula1>"Open,Close,Doing"</formula1>
    </dataValidation>
    <dataValidation type="list" allowBlank="1" showInputMessage="1" showErrorMessage="1" sqref="C18:C1048576 D58:D1048576">
      <formula1>"需求串讲,需求反串讲,技术方案评审,测试用例评审"</formula1>
    </dataValidation>
    <dataValidation type="list" allowBlank="1" showInputMessage="1" showErrorMessage="1" sqref="L2">
      <formula1>"首次评审,二次复评,三次复评,四次复评"</formula1>
    </dataValidation>
    <dataValidation type="list" allowBlank="1" showInputMessage="1" showErrorMessage="1" sqref="C4:D4">
      <formula1>"组内评审,上会评审"</formula1>
    </dataValidation>
    <dataValidation type="list" allowBlank="1" showInputMessage="1" showErrorMessage="1" sqref="L11:L16">
      <formula1>"已关闭,进行中,待决策"</formula1>
    </dataValidation>
  </dataValidations>
  <pageMargins left="0.708661417322835" right="0.708661417322835" top="0.748031496062992" bottom="0.748031496062992" header="0.31496062992126" footer="0.31496062992126"/>
  <pageSetup paperSize="9" orientation="landscape"/>
  <headerFooter>
    <oddFooter>&amp;L&amp;G&amp;RZGKJ-QR-484 A/1</oddFooter>
  </headerFooter>
  <drawing r:id="rId2"/>
  <legacyDrawing r:id="rId3"/>
  <legacyDrawingHF r:id="rId4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7"/>
  <sheetViews>
    <sheetView zoomScale="115" zoomScaleNormal="115" workbookViewId="0">
      <selection activeCell="G21" sqref="G21"/>
    </sheetView>
  </sheetViews>
  <sheetFormatPr defaultColWidth="9" defaultRowHeight="13.5"/>
  <cols>
    <col min="3" max="3" width="11.2666666666667" customWidth="1"/>
    <col min="4" max="4" width="12.3666666666667" customWidth="1"/>
    <col min="10" max="10" width="13.3666666666667" customWidth="1"/>
    <col min="11" max="11" width="12.2666666666667" customWidth="1"/>
  </cols>
  <sheetData>
    <row r="1" ht="29.25" spans="1:1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16.5" spans="1:12">
      <c r="A2" s="2" t="s">
        <v>2</v>
      </c>
      <c r="B2" s="2"/>
      <c r="C2" s="3" t="s">
        <v>51</v>
      </c>
      <c r="D2" s="3"/>
      <c r="E2" s="2" t="s">
        <v>3</v>
      </c>
      <c r="F2" s="2"/>
      <c r="G2" s="3">
        <v>20230329</v>
      </c>
      <c r="H2" s="3"/>
      <c r="I2" s="2" t="s">
        <v>4</v>
      </c>
      <c r="J2" s="35" t="s">
        <v>52</v>
      </c>
      <c r="K2" s="2" t="s">
        <v>5</v>
      </c>
      <c r="L2" s="3" t="s">
        <v>6</v>
      </c>
    </row>
    <row r="3" ht="16.5" spans="1:12">
      <c r="A3" s="2" t="s">
        <v>8</v>
      </c>
      <c r="B3" s="2"/>
      <c r="C3" s="4" t="s">
        <v>53</v>
      </c>
      <c r="D3" s="5"/>
      <c r="E3" s="2" t="s">
        <v>9</v>
      </c>
      <c r="F3" s="2"/>
      <c r="G3" s="4" t="s">
        <v>54</v>
      </c>
      <c r="H3" s="5"/>
      <c r="I3" s="11" t="s">
        <v>10</v>
      </c>
      <c r="J3" s="12"/>
      <c r="K3" s="12"/>
      <c r="L3" s="36"/>
    </row>
    <row r="4" ht="16.5" spans="1:12">
      <c r="A4" s="2" t="s">
        <v>12</v>
      </c>
      <c r="B4" s="2"/>
      <c r="C4" s="3" t="s">
        <v>13</v>
      </c>
      <c r="D4" s="3"/>
      <c r="E4" s="2" t="s">
        <v>14</v>
      </c>
      <c r="F4" s="2"/>
      <c r="G4" s="4">
        <v>10</v>
      </c>
      <c r="H4" s="5" t="s">
        <v>15</v>
      </c>
      <c r="I4" s="4" t="s">
        <v>16</v>
      </c>
      <c r="J4" s="5"/>
      <c r="K4" s="37">
        <f>COUNTIF(L:L,I4)</f>
        <v>5</v>
      </c>
      <c r="L4" s="37"/>
    </row>
    <row r="5" ht="16.5" spans="1:12">
      <c r="A5" s="6" t="s">
        <v>18</v>
      </c>
      <c r="B5" s="7"/>
      <c r="C5" s="8">
        <v>3</v>
      </c>
      <c r="D5" s="8"/>
      <c r="E5" s="9" t="s">
        <v>19</v>
      </c>
      <c r="F5" s="9"/>
      <c r="G5" s="10">
        <f>IF(B11="","",COUNTA(B11:B97))</f>
        <v>6</v>
      </c>
      <c r="H5" s="14"/>
      <c r="I5" s="4" t="s">
        <v>20</v>
      </c>
      <c r="J5" s="5"/>
      <c r="K5" s="37">
        <f>COUNTIF(L:L,I5)</f>
        <v>0</v>
      </c>
      <c r="L5" s="37"/>
    </row>
    <row r="6" ht="16.5" spans="1:12">
      <c r="A6" s="11" t="s">
        <v>22</v>
      </c>
      <c r="B6" s="12"/>
      <c r="C6" s="13">
        <f>IFERROR(G5/G4,"")</f>
        <v>0.6</v>
      </c>
      <c r="D6" s="14" t="str">
        <f>"个"&amp;"/"&amp;H4</f>
        <v>个/页</v>
      </c>
      <c r="E6" s="15" t="s">
        <v>23</v>
      </c>
      <c r="F6" s="16"/>
      <c r="G6" s="17">
        <f>IFERROR(G5/C5,"")</f>
        <v>2</v>
      </c>
      <c r="H6" s="17"/>
      <c r="I6" s="4" t="s">
        <v>24</v>
      </c>
      <c r="J6" s="5"/>
      <c r="K6" s="37">
        <f>COUNTIF(L:L,I6)</f>
        <v>1</v>
      </c>
      <c r="L6" s="37"/>
    </row>
    <row r="7" ht="16.5" spans="1:12">
      <c r="A7" s="18" t="s">
        <v>25</v>
      </c>
      <c r="B7" s="18"/>
      <c r="C7" s="19"/>
      <c r="D7" s="19"/>
      <c r="E7" s="3" t="s">
        <v>55</v>
      </c>
      <c r="F7" s="3"/>
      <c r="G7" s="3"/>
      <c r="H7" s="3"/>
      <c r="I7" s="3"/>
      <c r="J7" s="3"/>
      <c r="K7" s="3"/>
      <c r="L7" s="3"/>
    </row>
    <row r="8" ht="16.5" spans="1:12">
      <c r="A8" s="20" t="s">
        <v>27</v>
      </c>
      <c r="B8" s="21"/>
      <c r="C8" s="21"/>
      <c r="D8" s="22"/>
      <c r="E8" s="4" t="s">
        <v>56</v>
      </c>
      <c r="F8" s="23"/>
      <c r="G8" s="23"/>
      <c r="H8" s="23"/>
      <c r="I8" s="23"/>
      <c r="J8" s="23"/>
      <c r="K8" s="23"/>
      <c r="L8" s="5"/>
    </row>
    <row r="9" ht="49.5" spans="1:12">
      <c r="A9" s="20" t="s">
        <v>29</v>
      </c>
      <c r="B9" s="21"/>
      <c r="C9" s="22"/>
      <c r="D9" s="24" t="s">
        <v>30</v>
      </c>
      <c r="E9" s="25" t="s">
        <v>57</v>
      </c>
      <c r="F9" s="26"/>
      <c r="G9" s="26"/>
      <c r="H9" s="26"/>
      <c r="I9" s="26"/>
      <c r="J9" s="26"/>
      <c r="K9" s="26"/>
      <c r="L9" s="38"/>
    </row>
    <row r="10" ht="15" spans="1:12">
      <c r="A10" s="18" t="s">
        <v>32</v>
      </c>
      <c r="B10" s="18" t="s">
        <v>33</v>
      </c>
      <c r="C10" s="18" t="s">
        <v>34</v>
      </c>
      <c r="D10" s="27" t="s">
        <v>35</v>
      </c>
      <c r="E10" s="18" t="s">
        <v>36</v>
      </c>
      <c r="F10" s="18"/>
      <c r="G10" s="18"/>
      <c r="H10" s="18"/>
      <c r="I10" s="18" t="s">
        <v>37</v>
      </c>
      <c r="J10" s="18" t="s">
        <v>38</v>
      </c>
      <c r="K10" s="18" t="s">
        <v>39</v>
      </c>
      <c r="L10" s="18" t="s">
        <v>40</v>
      </c>
    </row>
    <row r="11" ht="16.5" spans="1:12">
      <c r="A11" s="28">
        <v>1</v>
      </c>
      <c r="B11" s="29" t="s">
        <v>58</v>
      </c>
      <c r="C11" s="29" t="s">
        <v>53</v>
      </c>
      <c r="D11" s="29">
        <v>20230329</v>
      </c>
      <c r="E11" s="30" t="s">
        <v>59</v>
      </c>
      <c r="F11" s="31"/>
      <c r="G11" s="31"/>
      <c r="H11" s="39"/>
      <c r="I11" s="40" t="s">
        <v>60</v>
      </c>
      <c r="J11" s="29">
        <v>20230329</v>
      </c>
      <c r="K11" s="29">
        <v>20230329</v>
      </c>
      <c r="L11" s="28" t="s">
        <v>16</v>
      </c>
    </row>
    <row r="12" ht="16.5" spans="1:12">
      <c r="A12" s="28">
        <v>2</v>
      </c>
      <c r="B12" s="29" t="s">
        <v>61</v>
      </c>
      <c r="C12" s="29" t="s">
        <v>53</v>
      </c>
      <c r="D12" s="29">
        <v>20230329</v>
      </c>
      <c r="E12" s="30" t="s">
        <v>62</v>
      </c>
      <c r="F12" s="31"/>
      <c r="G12" s="31"/>
      <c r="H12" s="39"/>
      <c r="I12" s="40" t="s">
        <v>60</v>
      </c>
      <c r="J12" s="29">
        <v>20230329</v>
      </c>
      <c r="K12" s="29">
        <v>20230329</v>
      </c>
      <c r="L12" s="28" t="s">
        <v>16</v>
      </c>
    </row>
    <row r="13" ht="16.5" spans="1:12">
      <c r="A13" s="28">
        <v>3</v>
      </c>
      <c r="B13" s="29" t="s">
        <v>63</v>
      </c>
      <c r="C13" s="29" t="s">
        <v>53</v>
      </c>
      <c r="D13" s="29">
        <v>20230329</v>
      </c>
      <c r="E13" s="30" t="s">
        <v>64</v>
      </c>
      <c r="F13" s="31"/>
      <c r="G13" s="31"/>
      <c r="H13" s="39"/>
      <c r="I13" s="40" t="s">
        <v>60</v>
      </c>
      <c r="J13" s="29">
        <v>20230329</v>
      </c>
      <c r="K13" s="29">
        <v>20230329</v>
      </c>
      <c r="L13" s="28" t="s">
        <v>16</v>
      </c>
    </row>
    <row r="14" ht="16.5" spans="1:12">
      <c r="A14" s="28">
        <v>4</v>
      </c>
      <c r="B14" s="29" t="s">
        <v>65</v>
      </c>
      <c r="C14" s="29" t="s">
        <v>66</v>
      </c>
      <c r="D14" s="29">
        <v>20230329</v>
      </c>
      <c r="E14" s="30" t="s">
        <v>67</v>
      </c>
      <c r="F14" s="31"/>
      <c r="G14" s="31"/>
      <c r="H14" s="39"/>
      <c r="I14" s="40" t="s">
        <v>60</v>
      </c>
      <c r="J14" s="29">
        <v>20230329</v>
      </c>
      <c r="K14" s="29">
        <v>20230329</v>
      </c>
      <c r="L14" s="28" t="s">
        <v>24</v>
      </c>
    </row>
    <row r="15" ht="16.5" spans="1:12">
      <c r="A15" s="28">
        <v>5</v>
      </c>
      <c r="B15" s="29" t="s">
        <v>65</v>
      </c>
      <c r="C15" s="29" t="s">
        <v>66</v>
      </c>
      <c r="D15" s="29">
        <v>20230329</v>
      </c>
      <c r="E15" s="30" t="s">
        <v>68</v>
      </c>
      <c r="F15" s="31"/>
      <c r="G15" s="31"/>
      <c r="H15" s="39"/>
      <c r="I15" s="40" t="s">
        <v>60</v>
      </c>
      <c r="J15" s="29">
        <v>20230330</v>
      </c>
      <c r="K15" s="29">
        <v>20230330</v>
      </c>
      <c r="L15" s="28" t="s">
        <v>16</v>
      </c>
    </row>
    <row r="16" ht="16.5" spans="1:12">
      <c r="A16" s="28">
        <v>6</v>
      </c>
      <c r="B16" s="29" t="s">
        <v>65</v>
      </c>
      <c r="C16" s="29" t="s">
        <v>66</v>
      </c>
      <c r="D16" s="29">
        <v>20230329</v>
      </c>
      <c r="E16" s="30" t="s">
        <v>69</v>
      </c>
      <c r="F16" s="31"/>
      <c r="G16" s="31"/>
      <c r="H16" s="39"/>
      <c r="I16" s="40" t="s">
        <v>60</v>
      </c>
      <c r="J16" s="29">
        <v>20230330</v>
      </c>
      <c r="K16" s="29">
        <v>20230330</v>
      </c>
      <c r="L16" s="28" t="s">
        <v>16</v>
      </c>
    </row>
    <row r="17" ht="57" customHeight="1" spans="1:12">
      <c r="A17" s="32" t="s">
        <v>48</v>
      </c>
      <c r="B17" s="33"/>
      <c r="C17" s="32" t="s">
        <v>70</v>
      </c>
      <c r="D17" s="34"/>
      <c r="E17" s="34"/>
      <c r="F17" s="34"/>
      <c r="G17" s="34"/>
      <c r="H17" s="34"/>
      <c r="I17" s="34"/>
      <c r="J17" s="34"/>
      <c r="K17" s="34"/>
      <c r="L17" s="33"/>
    </row>
  </sheetData>
  <mergeCells count="41">
    <mergeCell ref="A1:L1"/>
    <mergeCell ref="A2:B2"/>
    <mergeCell ref="C2:D2"/>
    <mergeCell ref="E2:F2"/>
    <mergeCell ref="G2:H2"/>
    <mergeCell ref="A3:B3"/>
    <mergeCell ref="C3:D3"/>
    <mergeCell ref="E3:F3"/>
    <mergeCell ref="G3:H3"/>
    <mergeCell ref="I3:L3"/>
    <mergeCell ref="A4:B4"/>
    <mergeCell ref="C4:D4"/>
    <mergeCell ref="E4:F4"/>
    <mergeCell ref="I4:J4"/>
    <mergeCell ref="K4:L4"/>
    <mergeCell ref="A5:B5"/>
    <mergeCell ref="C5:D5"/>
    <mergeCell ref="E5:F5"/>
    <mergeCell ref="G5:H5"/>
    <mergeCell ref="I5:J5"/>
    <mergeCell ref="K5:L5"/>
    <mergeCell ref="A6:B6"/>
    <mergeCell ref="E6:F6"/>
    <mergeCell ref="G6:H6"/>
    <mergeCell ref="I6:J6"/>
    <mergeCell ref="K6:L6"/>
    <mergeCell ref="A7:D7"/>
    <mergeCell ref="E7:L7"/>
    <mergeCell ref="A8:D8"/>
    <mergeCell ref="E8:L8"/>
    <mergeCell ref="A9:C9"/>
    <mergeCell ref="E9:L9"/>
    <mergeCell ref="E10:H10"/>
    <mergeCell ref="E11:H11"/>
    <mergeCell ref="E12:H12"/>
    <mergeCell ref="E13:H13"/>
    <mergeCell ref="E14:H14"/>
    <mergeCell ref="E15:H15"/>
    <mergeCell ref="E16:H16"/>
    <mergeCell ref="A17:B17"/>
    <mergeCell ref="C17:L17"/>
  </mergeCells>
  <dataValidations count="3">
    <dataValidation type="list" allowBlank="1" showInputMessage="1" showErrorMessage="1" sqref="L2">
      <formula1>"首次评审,二次复评,三次复评,四次复评"</formula1>
    </dataValidation>
    <dataValidation type="list" allowBlank="1" showInputMessage="1" showErrorMessage="1" sqref="C4:D4">
      <formula1>"组内评审,上会评审"</formula1>
    </dataValidation>
    <dataValidation type="list" allowBlank="1" showInputMessage="1" showErrorMessage="1" sqref="L11:L16">
      <formula1>"已关闭,进行中,待决策"</formula1>
    </dataValidation>
  </dataValidations>
  <pageMargins left="0.7" right="0.7" top="0.75" bottom="0.75" header="0.3" footer="0.3"/>
  <pageSetup paperSize="9" orientation="portrait" horizontalDpi="300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24"/>
  <sheetViews>
    <sheetView zoomScale="115" zoomScaleNormal="115" workbookViewId="0">
      <selection activeCell="J20" sqref="J20"/>
    </sheetView>
  </sheetViews>
  <sheetFormatPr defaultColWidth="9" defaultRowHeight="13.5"/>
  <cols>
    <col min="1" max="1" width="3.09166666666667" customWidth="1"/>
    <col min="3" max="3" width="9.36666666666667" customWidth="1"/>
    <col min="4" max="4" width="10.6333333333333" customWidth="1"/>
    <col min="5" max="5" width="13.725" customWidth="1"/>
    <col min="8" max="8" width="10.725" customWidth="1"/>
    <col min="9" max="9" width="12.0916666666667" customWidth="1"/>
    <col min="11" max="11" width="13.3666666666667" customWidth="1"/>
    <col min="12" max="12" width="12.2666666666667" customWidth="1"/>
  </cols>
  <sheetData>
    <row r="1" ht="7.5" customHeight="1"/>
    <row r="2" ht="29.25" spans="2:13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6.5" spans="2:13">
      <c r="B3" s="2" t="s">
        <v>2</v>
      </c>
      <c r="C3" s="2"/>
      <c r="D3" s="3"/>
      <c r="E3" s="3"/>
      <c r="F3" s="2" t="s">
        <v>3</v>
      </c>
      <c r="G3" s="2"/>
      <c r="H3" s="3"/>
      <c r="I3" s="3"/>
      <c r="J3" s="2" t="s">
        <v>4</v>
      </c>
      <c r="K3" s="35"/>
      <c r="L3" s="2" t="s">
        <v>5</v>
      </c>
      <c r="M3" s="3"/>
    </row>
    <row r="4" ht="16.5" spans="2:13">
      <c r="B4" s="2" t="s">
        <v>8</v>
      </c>
      <c r="C4" s="2"/>
      <c r="D4" s="4"/>
      <c r="E4" s="5"/>
      <c r="F4" s="2" t="s">
        <v>9</v>
      </c>
      <c r="G4" s="2"/>
      <c r="H4" s="4"/>
      <c r="I4" s="5"/>
      <c r="J4" s="11" t="s">
        <v>10</v>
      </c>
      <c r="K4" s="12"/>
      <c r="L4" s="12"/>
      <c r="M4" s="36"/>
    </row>
    <row r="5" ht="16.5" spans="2:13">
      <c r="B5" s="2" t="s">
        <v>12</v>
      </c>
      <c r="C5" s="2"/>
      <c r="D5" s="3"/>
      <c r="E5" s="3"/>
      <c r="F5" s="2" t="s">
        <v>14</v>
      </c>
      <c r="G5" s="2"/>
      <c r="H5" s="4"/>
      <c r="I5" s="5"/>
      <c r="J5" s="4" t="s">
        <v>16</v>
      </c>
      <c r="K5" s="5"/>
      <c r="L5" s="37">
        <f>COUNTIF(M:M,J5)</f>
        <v>0</v>
      </c>
      <c r="M5" s="37"/>
    </row>
    <row r="6" ht="16.5" spans="2:13">
      <c r="B6" s="6" t="s">
        <v>18</v>
      </c>
      <c r="C6" s="7"/>
      <c r="D6" s="8"/>
      <c r="E6" s="8"/>
      <c r="F6" s="9" t="s">
        <v>19</v>
      </c>
      <c r="G6" s="9"/>
      <c r="H6" s="10" t="str">
        <f>IF(C12="","",COUNTA(C12:C104))</f>
        <v/>
      </c>
      <c r="I6" s="14"/>
      <c r="J6" s="4" t="s">
        <v>20</v>
      </c>
      <c r="K6" s="5"/>
      <c r="L6" s="37">
        <f>COUNTIF(M:M,J6)</f>
        <v>0</v>
      </c>
      <c r="M6" s="37"/>
    </row>
    <row r="7" ht="16.5" spans="2:13">
      <c r="B7" s="11" t="s">
        <v>22</v>
      </c>
      <c r="C7" s="12"/>
      <c r="D7" s="13" t="str">
        <f>IFERROR(H6/H5,"")</f>
        <v/>
      </c>
      <c r="E7" s="14" t="str">
        <f>"个"&amp;"/"&amp;I5</f>
        <v>个/</v>
      </c>
      <c r="F7" s="15" t="s">
        <v>23</v>
      </c>
      <c r="G7" s="16"/>
      <c r="H7" s="17" t="str">
        <f>IFERROR(H6/D6,"")</f>
        <v/>
      </c>
      <c r="I7" s="17"/>
      <c r="J7" s="4" t="s">
        <v>24</v>
      </c>
      <c r="K7" s="5"/>
      <c r="L7" s="37">
        <f>COUNTIF(M:M,J7)</f>
        <v>0</v>
      </c>
      <c r="M7" s="37"/>
    </row>
    <row r="8" ht="16.5" spans="2:13">
      <c r="B8" s="18" t="s">
        <v>25</v>
      </c>
      <c r="C8" s="18"/>
      <c r="D8" s="19"/>
      <c r="E8" s="19"/>
      <c r="F8" s="3"/>
      <c r="G8" s="3"/>
      <c r="H8" s="3"/>
      <c r="I8" s="3"/>
      <c r="J8" s="3"/>
      <c r="K8" s="3"/>
      <c r="L8" s="3"/>
      <c r="M8" s="3"/>
    </row>
    <row r="9" ht="16.5" spans="2:13">
      <c r="B9" s="20" t="s">
        <v>27</v>
      </c>
      <c r="C9" s="21"/>
      <c r="D9" s="21"/>
      <c r="E9" s="22"/>
      <c r="F9" s="4"/>
      <c r="G9" s="23"/>
      <c r="H9" s="23"/>
      <c r="I9" s="23"/>
      <c r="J9" s="23"/>
      <c r="K9" s="23"/>
      <c r="L9" s="23"/>
      <c r="M9" s="5"/>
    </row>
    <row r="10" ht="49.5" spans="2:13">
      <c r="B10" s="20" t="s">
        <v>29</v>
      </c>
      <c r="C10" s="21"/>
      <c r="D10" s="22"/>
      <c r="E10" s="24" t="s">
        <v>30</v>
      </c>
      <c r="F10" s="25"/>
      <c r="G10" s="26"/>
      <c r="H10" s="26"/>
      <c r="I10" s="26"/>
      <c r="J10" s="26"/>
      <c r="K10" s="26"/>
      <c r="L10" s="26"/>
      <c r="M10" s="38"/>
    </row>
    <row r="11" ht="15" spans="2:13">
      <c r="B11" s="18" t="s">
        <v>32</v>
      </c>
      <c r="C11" s="18" t="s">
        <v>33</v>
      </c>
      <c r="D11" s="18" t="s">
        <v>34</v>
      </c>
      <c r="E11" s="27" t="s">
        <v>35</v>
      </c>
      <c r="F11" s="18" t="s">
        <v>36</v>
      </c>
      <c r="G11" s="18"/>
      <c r="H11" s="18"/>
      <c r="I11" s="18"/>
      <c r="J11" s="18" t="s">
        <v>37</v>
      </c>
      <c r="K11" s="18" t="s">
        <v>38</v>
      </c>
      <c r="L11" s="18" t="s">
        <v>39</v>
      </c>
      <c r="M11" s="18" t="s">
        <v>40</v>
      </c>
    </row>
    <row r="12" ht="16.5" spans="2:13">
      <c r="B12" s="28">
        <v>1</v>
      </c>
      <c r="C12" s="29"/>
      <c r="D12" s="29"/>
      <c r="E12" s="29"/>
      <c r="F12" s="30"/>
      <c r="G12" s="31"/>
      <c r="H12" s="31"/>
      <c r="I12" s="39"/>
      <c r="J12" s="40"/>
      <c r="K12" s="29"/>
      <c r="L12" s="29"/>
      <c r="M12" s="28"/>
    </row>
    <row r="13" ht="16.5" spans="2:13">
      <c r="B13" s="28">
        <v>2</v>
      </c>
      <c r="C13" s="29"/>
      <c r="D13" s="29"/>
      <c r="E13" s="29"/>
      <c r="F13" s="30"/>
      <c r="G13" s="31"/>
      <c r="H13" s="31"/>
      <c r="I13" s="39"/>
      <c r="J13" s="40"/>
      <c r="K13" s="29"/>
      <c r="L13" s="29"/>
      <c r="M13" s="28"/>
    </row>
    <row r="14" ht="16.5" spans="2:13">
      <c r="B14" s="28">
        <v>3</v>
      </c>
      <c r="C14" s="29"/>
      <c r="D14" s="29"/>
      <c r="E14" s="29"/>
      <c r="F14" s="30"/>
      <c r="G14" s="31"/>
      <c r="H14" s="31"/>
      <c r="I14" s="39"/>
      <c r="J14" s="40"/>
      <c r="K14" s="29"/>
      <c r="L14" s="29"/>
      <c r="M14" s="28"/>
    </row>
    <row r="15" ht="16.5" spans="2:13">
      <c r="B15" s="28">
        <v>4</v>
      </c>
      <c r="C15" s="29"/>
      <c r="D15" s="29"/>
      <c r="E15" s="29"/>
      <c r="F15" s="30"/>
      <c r="G15" s="31"/>
      <c r="H15" s="31"/>
      <c r="I15" s="39"/>
      <c r="J15" s="40"/>
      <c r="K15" s="29"/>
      <c r="L15" s="29"/>
      <c r="M15" s="28"/>
    </row>
    <row r="16" ht="16.5" spans="2:13">
      <c r="B16" s="28">
        <v>5</v>
      </c>
      <c r="C16" s="29"/>
      <c r="D16" s="29"/>
      <c r="E16" s="29"/>
      <c r="F16" s="30"/>
      <c r="G16" s="31"/>
      <c r="H16" s="31"/>
      <c r="I16" s="39"/>
      <c r="J16" s="40"/>
      <c r="K16" s="29"/>
      <c r="L16" s="29"/>
      <c r="M16" s="28"/>
    </row>
    <row r="17" ht="16.5" spans="2:13">
      <c r="B17" s="28">
        <v>6</v>
      </c>
      <c r="C17" s="29"/>
      <c r="D17" s="29"/>
      <c r="E17" s="29"/>
      <c r="F17" s="30"/>
      <c r="G17" s="31"/>
      <c r="H17" s="31"/>
      <c r="I17" s="39"/>
      <c r="J17" s="40"/>
      <c r="K17" s="29"/>
      <c r="L17" s="29"/>
      <c r="M17" s="28"/>
    </row>
    <row r="18" ht="16.5" spans="2:13">
      <c r="B18" s="28">
        <v>7</v>
      </c>
      <c r="C18" s="29"/>
      <c r="D18" s="29"/>
      <c r="E18" s="29"/>
      <c r="F18" s="30"/>
      <c r="G18" s="31"/>
      <c r="H18" s="31"/>
      <c r="I18" s="39"/>
      <c r="J18" s="40"/>
      <c r="K18" s="29"/>
      <c r="L18" s="29"/>
      <c r="M18" s="28"/>
    </row>
    <row r="19" ht="16.5" spans="2:13">
      <c r="B19" s="28">
        <v>8</v>
      </c>
      <c r="C19" s="29"/>
      <c r="D19" s="29"/>
      <c r="E19" s="29"/>
      <c r="F19" s="30"/>
      <c r="G19" s="31"/>
      <c r="H19" s="31"/>
      <c r="I19" s="39"/>
      <c r="J19" s="40"/>
      <c r="K19" s="29"/>
      <c r="L19" s="29"/>
      <c r="M19" s="28"/>
    </row>
    <row r="20" ht="16.5" spans="2:13">
      <c r="B20" s="28">
        <v>9</v>
      </c>
      <c r="C20" s="29"/>
      <c r="D20" s="29"/>
      <c r="E20" s="29"/>
      <c r="F20" s="30"/>
      <c r="G20" s="31"/>
      <c r="H20" s="31"/>
      <c r="I20" s="39"/>
      <c r="J20" s="40"/>
      <c r="K20" s="29"/>
      <c r="L20" s="29"/>
      <c r="M20" s="28"/>
    </row>
    <row r="21" ht="16.5" spans="2:13">
      <c r="B21" s="28">
        <v>10</v>
      </c>
      <c r="C21" s="29"/>
      <c r="D21" s="29"/>
      <c r="E21" s="29"/>
      <c r="F21" s="30"/>
      <c r="G21" s="31"/>
      <c r="H21" s="31"/>
      <c r="I21" s="39"/>
      <c r="J21" s="40"/>
      <c r="K21" s="29"/>
      <c r="L21" s="29"/>
      <c r="M21" s="28"/>
    </row>
    <row r="22" ht="16.5" spans="2:13">
      <c r="B22" s="28">
        <v>11</v>
      </c>
      <c r="C22" s="29"/>
      <c r="D22" s="29"/>
      <c r="E22" s="29"/>
      <c r="F22" s="30"/>
      <c r="G22" s="31"/>
      <c r="H22" s="31"/>
      <c r="I22" s="39"/>
      <c r="J22" s="40"/>
      <c r="K22" s="29"/>
      <c r="L22" s="29"/>
      <c r="M22" s="28"/>
    </row>
    <row r="23" ht="16.5" spans="2:13">
      <c r="B23" s="28">
        <v>12</v>
      </c>
      <c r="C23" s="29"/>
      <c r="D23" s="29"/>
      <c r="E23" s="29"/>
      <c r="F23" s="30"/>
      <c r="G23" s="31"/>
      <c r="H23" s="31"/>
      <c r="I23" s="39"/>
      <c r="J23" s="40"/>
      <c r="K23" s="29"/>
      <c r="L23" s="29"/>
      <c r="M23" s="28"/>
    </row>
    <row r="24" ht="69.75" customHeight="1" spans="2:13">
      <c r="B24" s="32" t="s">
        <v>48</v>
      </c>
      <c r="C24" s="33"/>
      <c r="D24" s="32"/>
      <c r="E24" s="34"/>
      <c r="F24" s="34"/>
      <c r="G24" s="34"/>
      <c r="H24" s="34"/>
      <c r="I24" s="34"/>
      <c r="J24" s="34"/>
      <c r="K24" s="34"/>
      <c r="L24" s="34"/>
      <c r="M24" s="33"/>
    </row>
  </sheetData>
  <mergeCells count="47">
    <mergeCell ref="B2:M2"/>
    <mergeCell ref="B3:C3"/>
    <mergeCell ref="D3:E3"/>
    <mergeCell ref="F3:G3"/>
    <mergeCell ref="H3:I3"/>
    <mergeCell ref="B4:C4"/>
    <mergeCell ref="D4:E4"/>
    <mergeCell ref="F4:G4"/>
    <mergeCell ref="H4:I4"/>
    <mergeCell ref="J4:M4"/>
    <mergeCell ref="B5:C5"/>
    <mergeCell ref="D5:E5"/>
    <mergeCell ref="F5:G5"/>
    <mergeCell ref="J5:K5"/>
    <mergeCell ref="L5:M5"/>
    <mergeCell ref="B6:C6"/>
    <mergeCell ref="D6:E6"/>
    <mergeCell ref="F6:G6"/>
    <mergeCell ref="H6:I6"/>
    <mergeCell ref="J6:K6"/>
    <mergeCell ref="L6:M6"/>
    <mergeCell ref="B7:C7"/>
    <mergeCell ref="F7:G7"/>
    <mergeCell ref="H7:I7"/>
    <mergeCell ref="J7:K7"/>
    <mergeCell ref="L7:M7"/>
    <mergeCell ref="B8:E8"/>
    <mergeCell ref="F8:M8"/>
    <mergeCell ref="B9:E9"/>
    <mergeCell ref="F9:M9"/>
    <mergeCell ref="B10:D10"/>
    <mergeCell ref="F10:M10"/>
    <mergeCell ref="F11:I11"/>
    <mergeCell ref="F12:I12"/>
    <mergeCell ref="F13:I13"/>
    <mergeCell ref="F14:I14"/>
    <mergeCell ref="F15:I15"/>
    <mergeCell ref="F16:I16"/>
    <mergeCell ref="F17:I17"/>
    <mergeCell ref="F18:I18"/>
    <mergeCell ref="F19:I19"/>
    <mergeCell ref="F20:I20"/>
    <mergeCell ref="F21:I21"/>
    <mergeCell ref="F22:I22"/>
    <mergeCell ref="F23:I23"/>
    <mergeCell ref="B24:C24"/>
    <mergeCell ref="D24:M24"/>
  </mergeCells>
  <dataValidations count="3">
    <dataValidation type="list" allowBlank="1" showInputMessage="1" showErrorMessage="1" sqref="M3">
      <formula1>"首次评审,二次复评,三次复评,四次复评"</formula1>
    </dataValidation>
    <dataValidation type="list" allowBlank="1" showInputMessage="1" showErrorMessage="1" sqref="D5:E5">
      <formula1>"组内评审,上会评审"</formula1>
    </dataValidation>
    <dataValidation type="list" allowBlank="1" showInputMessage="1" showErrorMessage="1" sqref="M12:M23">
      <formula1>"已关闭,进行中,待决策"</formula1>
    </dataValidation>
  </dataValidations>
  <pageMargins left="0.7" right="0.7" top="0.75" bottom="0.75" header="0.3" footer="0.3"/>
  <pageSetup paperSize="9" orientation="landscape" horizontalDpi="300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模板使用说明</vt:lpstr>
      <vt:lpstr>示例</vt:lpstr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口口口口</cp:lastModifiedBy>
  <dcterms:created xsi:type="dcterms:W3CDTF">2006-09-16T00:00:00Z</dcterms:created>
  <dcterms:modified xsi:type="dcterms:W3CDTF">2023-07-04T02:56:10Z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47C5B57E7BE04EC0910DFF81AD4653B4_12</vt:lpwstr>
  </property>
  <property fmtid="{D5CDD505-2E9C-101B-9397-08002B2CF9AE}" pid="3" name="KSOProductBuildVer">
    <vt:lpwstr>2052-11.1.0.14309</vt:lpwstr>
  </property>
</Properties>
</file>