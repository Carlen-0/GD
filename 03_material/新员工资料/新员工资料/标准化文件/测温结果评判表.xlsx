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总表" sheetId="1" r:id="rId1"/>
    <sheet name="60min3m" sheetId="4" r:id="rId2"/>
    <sheet name="30min3m" sheetId="3" r:id="rId3"/>
    <sheet name="10min3m" sheetId="2" r:id="rId4"/>
  </sheets>
  <calcPr calcId="144525"/>
</workbook>
</file>

<file path=xl/sharedStrings.xml><?xml version="1.0" encoding="utf-8"?>
<sst xmlns="http://schemas.openxmlformats.org/spreadsheetml/2006/main" count="160" uniqueCount="55">
  <si>
    <t>环温23℃</t>
  </si>
  <si>
    <t>设备编号</t>
  </si>
  <si>
    <t>测温点通过个数</t>
  </si>
  <si>
    <t>测温点不通过个数</t>
  </si>
  <si>
    <t>是否合格</t>
  </si>
  <si>
    <t>合格率</t>
  </si>
  <si>
    <t>cpk</t>
  </si>
  <si>
    <t>0001</t>
  </si>
  <si>
    <t>0002</t>
  </si>
  <si>
    <t>0003</t>
  </si>
  <si>
    <t>0004</t>
  </si>
  <si>
    <t>0005</t>
  </si>
  <si>
    <t>测试距离：1m~5m
测试时间：10min~60min</t>
  </si>
  <si>
    <t>0006</t>
  </si>
  <si>
    <t>0007</t>
  </si>
  <si>
    <t>0008</t>
  </si>
  <si>
    <t>0009</t>
  </si>
  <si>
    <t>环温（℃）</t>
  </si>
  <si>
    <t>23</t>
  </si>
  <si>
    <t>设备信息</t>
  </si>
  <si>
    <t>测温范围</t>
  </si>
  <si>
    <t>-40~150</t>
  </si>
  <si>
    <t>100~800</t>
  </si>
  <si>
    <t>单台设备通过个数</t>
  </si>
  <si>
    <t>单台设备不通过个数</t>
  </si>
  <si>
    <t>黑体温度（℃）</t>
  </si>
  <si>
    <t>黑体类型</t>
  </si>
  <si>
    <t>FLUKE 4180</t>
  </si>
  <si>
    <t>Kelvin 低温黑体</t>
  </si>
  <si>
    <t>Kelvin 中温黑体</t>
  </si>
  <si>
    <t>Kelvin 高温黑体</t>
  </si>
  <si>
    <t>黑体发射率</t>
  </si>
  <si>
    <t>1.0</t>
  </si>
  <si>
    <t>测温距离（米）</t>
  </si>
  <si>
    <t>测温时间（分钟）</t>
  </si>
  <si>
    <t>设备SN号</t>
  </si>
  <si>
    <t>整体情况</t>
  </si>
  <si>
    <t>精度（±x℃或±x%℃）</t>
  </si>
  <si>
    <t>允许误差（℃）</t>
  </si>
  <si>
    <t>精度上限</t>
  </si>
  <si>
    <t>精度下限</t>
  </si>
  <si>
    <t>通过个数</t>
  </si>
  <si>
    <t>不通过个数</t>
  </si>
  <si>
    <t>通过率</t>
  </si>
  <si>
    <t>CPK</t>
  </si>
  <si>
    <t>LSL（规格下限）</t>
  </si>
  <si>
    <t>USL（规格上限）</t>
  </si>
  <si>
    <t>均值</t>
  </si>
  <si>
    <t>平均误差</t>
  </si>
  <si>
    <t>均方误差</t>
  </si>
  <si>
    <t>CPL</t>
  </si>
  <si>
    <t>CPU</t>
  </si>
  <si>
    <t>cpk均值</t>
  </si>
  <si>
    <t>5</t>
  </si>
  <si>
    <t>30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</si>
</sst>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R12"/>
  <sheetViews>
    <sheetView tabSelected="1" workbookViewId="0">
      <selection activeCell="I9" sqref="I9"/>
    </sheetView>
  </sheetViews>
  <sheetFormatPr defaultColWidth="9" defaultRowHeight="13.5"/>
  <cols>
    <col min="1" max="5" width="9" style="14"/>
    <col min="6" max="6" width="17.125" style="14" customWidth="1"/>
    <col min="7" max="7" width="15" style="14" customWidth="1"/>
    <col min="8" max="8" width="17.125" style="14" customWidth="1"/>
    <col min="9" max="10" width="9" style="14"/>
    <col min="11" max="11" width="12.625" style="14"/>
    <col min="12" max="16384" width="9" style="14"/>
  </cols>
  <sheetData>
    <row r="3" spans="2:18">
      <c r="B3" s="14" t="s">
        <v>0</v>
      </c>
      <c r="F3" s="14" t="s">
        <v>1</v>
      </c>
      <c r="G3" s="14" t="s">
        <v>2</v>
      </c>
      <c r="H3" s="14" t="s">
        <v>3</v>
      </c>
      <c r="I3" s="15" t="s">
        <v>4</v>
      </c>
      <c r="J3" s="15" t="s">
        <v>5</v>
      </c>
      <c r="K3" s="15" t="s">
        <v>6</v>
      </c>
      <c r="L3" s="15"/>
      <c r="M3" s="15"/>
      <c r="N3" s="15"/>
      <c r="O3" s="15"/>
      <c r="P3" s="15"/>
      <c r="Q3" s="15"/>
      <c r="R3" s="15"/>
    </row>
    <row r="4" spans="6:11">
      <c r="F4" s="15" t="s">
        <v>7</v>
      </c>
      <c r="G4" s="14">
        <f>'60min3m'!U9+'10min3m'!U9+'30min3m'!U9</f>
        <v>2</v>
      </c>
      <c r="H4" s="14">
        <f>'60min3m'!V9+'10min3m'!V9+'30min3m'!V9</f>
        <v>0</v>
      </c>
      <c r="K4" s="14">
        <f>AVERAGE('60min3m'!D33,'30min3m'!D33,'10min3m'!D33)</f>
        <v>1.50185766242562</v>
      </c>
    </row>
    <row r="5" spans="6:8">
      <c r="F5" s="15" t="s">
        <v>8</v>
      </c>
      <c r="G5" s="14">
        <f>'60min3m'!U10+'10min3m'!U10+'30min3m'!U10</f>
        <v>0</v>
      </c>
      <c r="H5" s="14">
        <f>'60min3m'!V10+'10min3m'!V10+'30min3m'!V10</f>
        <v>0</v>
      </c>
    </row>
    <row r="6" spans="6:8">
      <c r="F6" s="15" t="s">
        <v>9</v>
      </c>
      <c r="G6" s="14">
        <f>'60min3m'!U11+'10min3m'!U11+'30min3m'!U11</f>
        <v>0</v>
      </c>
      <c r="H6" s="14">
        <f>'60min3m'!V11+'10min3m'!V11+'30min3m'!V11</f>
        <v>0</v>
      </c>
    </row>
    <row r="7" spans="6:8">
      <c r="F7" s="15" t="s">
        <v>10</v>
      </c>
      <c r="G7" s="14">
        <f>'60min3m'!U12+'10min3m'!U12+'30min3m'!U12</f>
        <v>0</v>
      </c>
      <c r="H7" s="14">
        <f>'60min3m'!V12+'10min3m'!V12+'30min3m'!V12</f>
        <v>0</v>
      </c>
    </row>
    <row r="8" spans="6:8">
      <c r="F8" s="15" t="s">
        <v>11</v>
      </c>
      <c r="G8" s="14">
        <f>'60min3m'!U13+'10min3m'!U13+'30min3m'!U13</f>
        <v>0</v>
      </c>
      <c r="H8" s="14">
        <f>'60min3m'!V13+'10min3m'!V13+'30min3m'!V13</f>
        <v>0</v>
      </c>
    </row>
    <row r="9" spans="2:8">
      <c r="B9" s="16" t="s">
        <v>12</v>
      </c>
      <c r="F9" s="15" t="s">
        <v>13</v>
      </c>
      <c r="G9" s="14">
        <f>'60min3m'!U14+'10min3m'!U14+'30min3m'!U14</f>
        <v>2</v>
      </c>
      <c r="H9" s="14">
        <f>'60min3m'!V14+'10min3m'!V14+'30min3m'!V14</f>
        <v>0</v>
      </c>
    </row>
    <row r="10" spans="6:8">
      <c r="F10" s="15" t="s">
        <v>14</v>
      </c>
      <c r="G10" s="14">
        <f>'60min3m'!U15+'10min3m'!U15+'30min3m'!U15</f>
        <v>0</v>
      </c>
      <c r="H10" s="14">
        <f>'60min3m'!V15+'10min3m'!V15+'30min3m'!V15</f>
        <v>0</v>
      </c>
    </row>
    <row r="11" spans="6:8">
      <c r="F11" s="15" t="s">
        <v>15</v>
      </c>
      <c r="G11" s="14">
        <f>'60min3m'!U16+'10min3m'!U16+'30min3m'!U16</f>
        <v>0</v>
      </c>
      <c r="H11" s="14">
        <f>'60min3m'!V16+'10min3m'!V16+'30min3m'!V16</f>
        <v>0</v>
      </c>
    </row>
    <row r="12" spans="6:8">
      <c r="F12" s="15" t="s">
        <v>16</v>
      </c>
      <c r="G12" s="14">
        <f>'60min3m'!U17+'10min3m'!U17+'30min3m'!U17</f>
        <v>0</v>
      </c>
      <c r="H12" s="14">
        <f>'60min3m'!V17+'10min3m'!V17+'30min3m'!V17</f>
        <v>0</v>
      </c>
    </row>
  </sheetData>
  <mergeCells count="4">
    <mergeCell ref="J4:J12"/>
    <mergeCell ref="K4:K12"/>
    <mergeCell ref="B3:D5"/>
    <mergeCell ref="B9:D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workbookViewId="0">
      <selection activeCell="D33" sqref="D33:T33"/>
    </sheetView>
  </sheetViews>
  <sheetFormatPr defaultColWidth="9" defaultRowHeight="13.5"/>
  <cols>
    <col min="4" max="4" width="11.5"/>
    <col min="6" max="12" width="12.625"/>
    <col min="15" max="15" width="12.625"/>
    <col min="18" max="19" width="12.625"/>
  </cols>
  <sheetData>
    <row r="1" spans="1:22">
      <c r="A1" s="1"/>
      <c r="B1" s="1" t="s">
        <v>17</v>
      </c>
      <c r="C1" s="1"/>
      <c r="D1" s="1" t="s">
        <v>18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 t="s">
        <v>19</v>
      </c>
      <c r="B3" s="1" t="s">
        <v>20</v>
      </c>
      <c r="C3" s="1"/>
      <c r="D3" s="1" t="s">
        <v>21</v>
      </c>
      <c r="E3" s="1"/>
      <c r="F3" s="1"/>
      <c r="G3" s="1"/>
      <c r="H3" s="1"/>
      <c r="I3" s="1"/>
      <c r="J3" s="1"/>
      <c r="K3" s="1" t="s">
        <v>22</v>
      </c>
      <c r="L3" s="1"/>
      <c r="M3" s="1"/>
      <c r="N3" s="1"/>
      <c r="O3" s="1"/>
      <c r="P3" s="1"/>
      <c r="Q3" s="1"/>
      <c r="R3" s="1"/>
      <c r="S3" s="1"/>
      <c r="T3" s="1"/>
      <c r="U3" s="8" t="s">
        <v>23</v>
      </c>
      <c r="V3" s="8" t="s">
        <v>24</v>
      </c>
    </row>
    <row r="4" spans="1:22">
      <c r="A4" s="1"/>
      <c r="B4" s="1" t="s">
        <v>25</v>
      </c>
      <c r="C4" s="1"/>
      <c r="D4" s="1">
        <v>-10</v>
      </c>
      <c r="E4" s="1">
        <v>0</v>
      </c>
      <c r="F4" s="1">
        <v>20</v>
      </c>
      <c r="G4" s="1">
        <v>35</v>
      </c>
      <c r="H4" s="1">
        <v>50</v>
      </c>
      <c r="I4" s="1">
        <v>100</v>
      </c>
      <c r="J4" s="1">
        <v>150</v>
      </c>
      <c r="K4" s="1">
        <v>100</v>
      </c>
      <c r="L4" s="1">
        <v>150</v>
      </c>
      <c r="M4" s="1">
        <v>200</v>
      </c>
      <c r="N4" s="1">
        <v>250</v>
      </c>
      <c r="O4" s="1">
        <v>300</v>
      </c>
      <c r="P4" s="1">
        <v>350</v>
      </c>
      <c r="Q4" s="1">
        <v>400</v>
      </c>
      <c r="R4" s="1">
        <v>450</v>
      </c>
      <c r="S4" s="1">
        <v>650</v>
      </c>
      <c r="T4" s="1">
        <v>800</v>
      </c>
      <c r="U4" s="8"/>
      <c r="V4" s="8"/>
    </row>
    <row r="5" spans="1:22">
      <c r="A5" s="1"/>
      <c r="B5" s="1" t="s">
        <v>26</v>
      </c>
      <c r="C5" s="1"/>
      <c r="D5" s="1" t="s">
        <v>27</v>
      </c>
      <c r="E5" s="1"/>
      <c r="F5" s="1" t="s">
        <v>28</v>
      </c>
      <c r="G5" s="1"/>
      <c r="H5" s="1"/>
      <c r="I5" s="1" t="s">
        <v>29</v>
      </c>
      <c r="J5" s="1"/>
      <c r="K5" s="1" t="s">
        <v>29</v>
      </c>
      <c r="L5" s="1"/>
      <c r="M5" s="1"/>
      <c r="N5" s="1"/>
      <c r="O5" s="1"/>
      <c r="P5" s="1"/>
      <c r="Q5" s="1"/>
      <c r="R5" s="1" t="s">
        <v>30</v>
      </c>
      <c r="S5" s="1"/>
      <c r="T5" s="1"/>
      <c r="U5" s="8"/>
      <c r="V5" s="8"/>
    </row>
    <row r="6" spans="1:22">
      <c r="A6" s="1"/>
      <c r="B6" s="1" t="s">
        <v>31</v>
      </c>
      <c r="C6" s="1"/>
      <c r="D6" s="1" t="s">
        <v>32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/>
      <c r="V6" s="8"/>
    </row>
    <row r="7" spans="1:22">
      <c r="A7" s="1"/>
      <c r="B7" s="1" t="s">
        <v>33</v>
      </c>
      <c r="C7" s="1"/>
      <c r="D7" s="1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8"/>
      <c r="V7" s="8"/>
    </row>
    <row r="8" spans="1:22">
      <c r="A8" s="1"/>
      <c r="B8" s="1" t="s">
        <v>34</v>
      </c>
      <c r="C8" s="1"/>
      <c r="D8" s="1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8"/>
      <c r="V8" s="8"/>
    </row>
    <row r="9" spans="1:22">
      <c r="A9" s="1"/>
      <c r="B9" s="1" t="s">
        <v>35</v>
      </c>
      <c r="C9" s="1" t="s">
        <v>7</v>
      </c>
      <c r="D9" s="1">
        <v>-10.5</v>
      </c>
      <c r="E9" s="1">
        <v>0.1</v>
      </c>
      <c r="F9" s="1">
        <v>19.6</v>
      </c>
      <c r="G9" s="1">
        <v>34.3</v>
      </c>
      <c r="H9" s="1">
        <v>49.4</v>
      </c>
      <c r="I9" s="1">
        <v>99.3</v>
      </c>
      <c r="J9" s="1">
        <v>149.2</v>
      </c>
      <c r="K9" s="1">
        <v>99.4</v>
      </c>
      <c r="L9" s="1">
        <v>150.2</v>
      </c>
      <c r="M9" s="1">
        <v>199.3</v>
      </c>
      <c r="N9" s="1">
        <v>249.2</v>
      </c>
      <c r="O9" s="1">
        <v>300.1</v>
      </c>
      <c r="P9" s="1">
        <v>350.7</v>
      </c>
      <c r="Q9" s="1">
        <v>401.3</v>
      </c>
      <c r="R9" s="1">
        <v>451.7</v>
      </c>
      <c r="S9" s="1">
        <v>649</v>
      </c>
      <c r="T9" s="1">
        <v>798.5</v>
      </c>
      <c r="U9" s="9">
        <f>COUNTA(A)</f>
        <v>1</v>
      </c>
      <c r="V9" s="9"/>
    </row>
    <row r="10" spans="1:22">
      <c r="A10" s="1"/>
      <c r="B10" s="1"/>
      <c r="C10" s="1" t="s">
        <v>8</v>
      </c>
      <c r="D10" s="1">
        <v>-7.3</v>
      </c>
      <c r="E10" s="1">
        <v>2.4</v>
      </c>
      <c r="F10" s="1">
        <v>20.7</v>
      </c>
      <c r="G10" s="1">
        <v>35.3</v>
      </c>
      <c r="H10" s="1">
        <v>50.3</v>
      </c>
      <c r="I10" s="1">
        <v>100.1</v>
      </c>
      <c r="J10" s="1">
        <v>150</v>
      </c>
      <c r="K10" s="1">
        <v>102.7</v>
      </c>
      <c r="L10" s="1">
        <v>152</v>
      </c>
      <c r="M10" s="1">
        <v>200.5</v>
      </c>
      <c r="N10" s="1">
        <v>249</v>
      </c>
      <c r="O10" s="1">
        <v>299.4</v>
      </c>
      <c r="P10" s="1">
        <v>349.4</v>
      </c>
      <c r="Q10" s="1">
        <v>399.6</v>
      </c>
      <c r="R10" s="1">
        <v>450.5</v>
      </c>
      <c r="S10" s="1">
        <v>649.5</v>
      </c>
      <c r="T10" s="1">
        <v>802.6</v>
      </c>
      <c r="U10" s="9"/>
      <c r="V10" s="9"/>
    </row>
    <row r="11" spans="1:22">
      <c r="A11" s="1"/>
      <c r="B11" s="1"/>
      <c r="C11" s="1" t="s">
        <v>9</v>
      </c>
      <c r="D11" s="1">
        <v>-10</v>
      </c>
      <c r="E11" s="1">
        <v>0.5</v>
      </c>
      <c r="F11" s="1">
        <v>20</v>
      </c>
      <c r="G11" s="1">
        <v>34.6</v>
      </c>
      <c r="H11" s="1">
        <v>49.8</v>
      </c>
      <c r="I11" s="1">
        <v>99.9</v>
      </c>
      <c r="J11" s="1">
        <v>150.1</v>
      </c>
      <c r="K11" s="1">
        <v>100.9</v>
      </c>
      <c r="L11" s="1">
        <v>151.5</v>
      </c>
      <c r="M11" s="1">
        <v>201</v>
      </c>
      <c r="N11" s="1">
        <v>250.4</v>
      </c>
      <c r="O11" s="1">
        <v>301.1</v>
      </c>
      <c r="P11" s="1">
        <v>352.1</v>
      </c>
      <c r="Q11" s="1">
        <v>402.3</v>
      </c>
      <c r="R11" s="1">
        <v>453.6</v>
      </c>
      <c r="S11" s="1">
        <v>650.5</v>
      </c>
      <c r="T11" s="1">
        <v>800.6</v>
      </c>
      <c r="U11" s="9"/>
      <c r="V11" s="9"/>
    </row>
    <row r="12" spans="1:22">
      <c r="A12" s="1"/>
      <c r="B12" s="1"/>
      <c r="C12" s="1" t="s">
        <v>10</v>
      </c>
      <c r="D12" s="1">
        <v>-9.7</v>
      </c>
      <c r="E12" s="1">
        <v>1.2</v>
      </c>
      <c r="F12" s="1">
        <v>20</v>
      </c>
      <c r="G12" s="1">
        <v>34.8</v>
      </c>
      <c r="H12" s="1">
        <v>49</v>
      </c>
      <c r="I12" s="1">
        <v>100.2</v>
      </c>
      <c r="J12" s="1">
        <v>150.5</v>
      </c>
      <c r="K12" s="1">
        <v>99.8</v>
      </c>
      <c r="L12" s="1">
        <v>150.5</v>
      </c>
      <c r="M12" s="1">
        <v>199.9</v>
      </c>
      <c r="N12" s="1">
        <v>249.4</v>
      </c>
      <c r="O12" s="1">
        <v>299.3</v>
      </c>
      <c r="P12" s="1">
        <v>349.9</v>
      </c>
      <c r="Q12" s="1">
        <v>400</v>
      </c>
      <c r="R12" s="1">
        <v>450.5</v>
      </c>
      <c r="S12" s="1">
        <v>649.5</v>
      </c>
      <c r="T12" s="1">
        <v>801.7</v>
      </c>
      <c r="U12" s="9"/>
      <c r="V12" s="9"/>
    </row>
    <row r="13" spans="1:22">
      <c r="A13" s="1"/>
      <c r="B13" s="1"/>
      <c r="C13" s="1" t="s">
        <v>11</v>
      </c>
      <c r="D13" s="1">
        <v>-9.5</v>
      </c>
      <c r="E13" s="1">
        <v>0.9</v>
      </c>
      <c r="F13" s="1">
        <v>20</v>
      </c>
      <c r="G13" s="1">
        <v>34.8</v>
      </c>
      <c r="H13" s="1">
        <v>49.9</v>
      </c>
      <c r="I13" s="1">
        <v>100.2</v>
      </c>
      <c r="J13" s="1">
        <v>151.6</v>
      </c>
      <c r="K13" s="1">
        <v>98.5</v>
      </c>
      <c r="L13" s="1">
        <v>150.3</v>
      </c>
      <c r="M13" s="1">
        <v>199.9</v>
      </c>
      <c r="N13" s="1">
        <v>249</v>
      </c>
      <c r="O13" s="1">
        <v>299.5</v>
      </c>
      <c r="P13" s="1">
        <v>350.5</v>
      </c>
      <c r="Q13" s="1">
        <v>401.4</v>
      </c>
      <c r="R13" s="1">
        <v>452.1</v>
      </c>
      <c r="S13" s="1">
        <v>651.2</v>
      </c>
      <c r="T13" s="1">
        <v>805.8</v>
      </c>
      <c r="U13" s="9"/>
      <c r="V13" s="9"/>
    </row>
    <row r="14" spans="1:22">
      <c r="A14" s="1"/>
      <c r="B14" s="1"/>
      <c r="C14" s="1" t="s">
        <v>13</v>
      </c>
      <c r="D14" s="1">
        <v>-9.1</v>
      </c>
      <c r="E14" s="1">
        <v>1.2</v>
      </c>
      <c r="F14" s="1">
        <v>20.1</v>
      </c>
      <c r="G14" s="1">
        <v>34.8</v>
      </c>
      <c r="H14" s="1">
        <v>49.9</v>
      </c>
      <c r="I14" s="1">
        <v>99.6</v>
      </c>
      <c r="J14" s="1">
        <v>149.5</v>
      </c>
      <c r="K14" s="1">
        <v>101.2</v>
      </c>
      <c r="L14" s="1">
        <v>150.9</v>
      </c>
      <c r="M14" s="1">
        <v>199.9</v>
      </c>
      <c r="N14" s="1">
        <v>248.7</v>
      </c>
      <c r="O14" s="1">
        <v>298.8</v>
      </c>
      <c r="P14" s="1">
        <v>348.9</v>
      </c>
      <c r="Q14" s="1">
        <v>398.7</v>
      </c>
      <c r="R14" s="1">
        <v>448.6</v>
      </c>
      <c r="S14" s="1">
        <v>646</v>
      </c>
      <c r="T14" s="1">
        <v>796.8</v>
      </c>
      <c r="U14" s="9">
        <f>COUNTA(A)</f>
        <v>1</v>
      </c>
      <c r="V14" s="9"/>
    </row>
    <row r="15" spans="1:22">
      <c r="A15" s="1"/>
      <c r="B15" s="1"/>
      <c r="C15" s="1" t="s">
        <v>14</v>
      </c>
      <c r="D15" s="1">
        <v>-9.5</v>
      </c>
      <c r="E15" s="1">
        <v>1.2</v>
      </c>
      <c r="F15" s="1">
        <v>19.8</v>
      </c>
      <c r="G15" s="1">
        <v>34.4</v>
      </c>
      <c r="H15" s="1">
        <v>49.4</v>
      </c>
      <c r="I15" s="1">
        <v>99.2</v>
      </c>
      <c r="J15" s="1">
        <v>149.3</v>
      </c>
      <c r="K15" s="1">
        <v>99.5</v>
      </c>
      <c r="L15" s="1">
        <v>151</v>
      </c>
      <c r="M15" s="1">
        <v>200.5</v>
      </c>
      <c r="N15" s="1">
        <v>250.2</v>
      </c>
      <c r="O15" s="1">
        <v>301</v>
      </c>
      <c r="P15" s="1">
        <v>351.6</v>
      </c>
      <c r="Q15" s="1">
        <v>402</v>
      </c>
      <c r="R15" s="1">
        <v>452.6</v>
      </c>
      <c r="S15" s="1">
        <v>651.9</v>
      </c>
      <c r="T15" s="1">
        <v>802.6</v>
      </c>
      <c r="U15" s="9"/>
      <c r="V15" s="9"/>
    </row>
    <row r="16" spans="1:22">
      <c r="A16" s="1"/>
      <c r="B16" s="1"/>
      <c r="C16" s="1" t="s">
        <v>15</v>
      </c>
      <c r="D16" s="1">
        <v>-9.2</v>
      </c>
      <c r="E16" s="1">
        <v>0.7</v>
      </c>
      <c r="F16" s="1">
        <v>19.7</v>
      </c>
      <c r="G16" s="1">
        <v>34.4</v>
      </c>
      <c r="H16" s="1">
        <v>49.8</v>
      </c>
      <c r="I16" s="1">
        <v>99.8</v>
      </c>
      <c r="J16" s="1">
        <v>150.2</v>
      </c>
      <c r="K16" s="1">
        <v>103.5</v>
      </c>
      <c r="L16" s="1">
        <v>153.4</v>
      </c>
      <c r="M16" s="1">
        <v>202.5</v>
      </c>
      <c r="N16" s="1">
        <v>251.3</v>
      </c>
      <c r="O16" s="1">
        <v>302.3</v>
      </c>
      <c r="P16" s="1">
        <v>352.2</v>
      </c>
      <c r="Q16" s="1">
        <v>403.4</v>
      </c>
      <c r="R16" s="1">
        <v>455.8</v>
      </c>
      <c r="S16" s="1">
        <v>656</v>
      </c>
      <c r="T16" s="1">
        <v>808.4</v>
      </c>
      <c r="U16" s="9"/>
      <c r="V16" s="9"/>
    </row>
    <row r="17" spans="1:22">
      <c r="A17" s="1"/>
      <c r="B17" s="1"/>
      <c r="C17" s="1" t="s">
        <v>16</v>
      </c>
      <c r="D17" s="1">
        <v>-8.9</v>
      </c>
      <c r="E17" s="1">
        <v>1.3</v>
      </c>
      <c r="F17" s="1">
        <v>20.8</v>
      </c>
      <c r="G17" s="1">
        <v>35.4</v>
      </c>
      <c r="H17" s="1">
        <v>50.3</v>
      </c>
      <c r="I17" s="1">
        <v>100.2</v>
      </c>
      <c r="J17" s="1">
        <v>150.3</v>
      </c>
      <c r="K17" s="1">
        <v>99.3</v>
      </c>
      <c r="L17" s="1">
        <v>150.1</v>
      </c>
      <c r="M17" s="1">
        <v>199.3</v>
      </c>
      <c r="N17" s="1">
        <v>248.6</v>
      </c>
      <c r="O17" s="1">
        <v>299.3</v>
      </c>
      <c r="P17" s="1">
        <v>349.7</v>
      </c>
      <c r="Q17" s="1">
        <v>399.4</v>
      </c>
      <c r="R17" s="1">
        <v>449.8</v>
      </c>
      <c r="S17" s="1">
        <v>646.7</v>
      </c>
      <c r="T17" s="1">
        <v>792</v>
      </c>
      <c r="U17" s="9"/>
      <c r="V17" s="9"/>
    </row>
    <row r="18" spans="1:22">
      <c r="A18" s="1" t="s">
        <v>36</v>
      </c>
      <c r="B18" s="1" t="s">
        <v>37</v>
      </c>
      <c r="C18" s="1"/>
      <c r="D18" s="1">
        <v>3</v>
      </c>
      <c r="E18" s="1">
        <v>3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0"/>
      <c r="V18" s="10"/>
    </row>
    <row r="19" spans="1:22">
      <c r="A19" s="1"/>
      <c r="B19" s="1" t="s">
        <v>38</v>
      </c>
      <c r="C19" s="1"/>
      <c r="D19" s="1">
        <f t="shared" ref="D19:T19" si="0">MAX(D18,D4*D18/100)</f>
        <v>3</v>
      </c>
      <c r="E19" s="1">
        <f t="shared" si="0"/>
        <v>3</v>
      </c>
      <c r="F19" s="1">
        <f t="shared" si="0"/>
        <v>2</v>
      </c>
      <c r="G19" s="1">
        <f t="shared" si="0"/>
        <v>2</v>
      </c>
      <c r="H19" s="1">
        <f t="shared" si="0"/>
        <v>2</v>
      </c>
      <c r="I19" s="1">
        <f t="shared" si="0"/>
        <v>2</v>
      </c>
      <c r="J19" s="1">
        <f t="shared" si="0"/>
        <v>3</v>
      </c>
      <c r="K19" s="1">
        <f t="shared" si="0"/>
        <v>2</v>
      </c>
      <c r="L19" s="1">
        <f t="shared" si="0"/>
        <v>3</v>
      </c>
      <c r="M19" s="1">
        <f t="shared" si="0"/>
        <v>4</v>
      </c>
      <c r="N19" s="1">
        <f t="shared" si="0"/>
        <v>5</v>
      </c>
      <c r="O19" s="1">
        <f t="shared" si="0"/>
        <v>6</v>
      </c>
      <c r="P19" s="1">
        <f t="shared" si="0"/>
        <v>7</v>
      </c>
      <c r="Q19" s="1">
        <f t="shared" si="0"/>
        <v>8</v>
      </c>
      <c r="R19" s="1">
        <f t="shared" si="0"/>
        <v>9</v>
      </c>
      <c r="S19" s="1">
        <f t="shared" si="0"/>
        <v>13</v>
      </c>
      <c r="T19" s="1">
        <f t="shared" si="0"/>
        <v>16</v>
      </c>
      <c r="U19" s="10"/>
      <c r="V19" s="10"/>
    </row>
    <row r="20" spans="1:22">
      <c r="A20" s="2"/>
      <c r="B20" s="2" t="s">
        <v>39</v>
      </c>
      <c r="C20" s="2"/>
      <c r="D20" s="3">
        <f t="shared" ref="D20:T20" si="1">D4+D19</f>
        <v>-7</v>
      </c>
      <c r="E20" s="3">
        <f t="shared" si="1"/>
        <v>3</v>
      </c>
      <c r="F20" s="3">
        <f t="shared" si="1"/>
        <v>22</v>
      </c>
      <c r="G20" s="3">
        <f t="shared" si="1"/>
        <v>37</v>
      </c>
      <c r="H20" s="3">
        <f t="shared" si="1"/>
        <v>52</v>
      </c>
      <c r="I20" s="3">
        <f t="shared" si="1"/>
        <v>102</v>
      </c>
      <c r="J20" s="3">
        <f t="shared" si="1"/>
        <v>153</v>
      </c>
      <c r="K20" s="3">
        <f t="shared" si="1"/>
        <v>102</v>
      </c>
      <c r="L20" s="3">
        <f t="shared" si="1"/>
        <v>153</v>
      </c>
      <c r="M20" s="3">
        <f t="shared" si="1"/>
        <v>204</v>
      </c>
      <c r="N20" s="3">
        <f t="shared" si="1"/>
        <v>255</v>
      </c>
      <c r="O20" s="3">
        <f t="shared" si="1"/>
        <v>306</v>
      </c>
      <c r="P20" s="3">
        <f t="shared" si="1"/>
        <v>357</v>
      </c>
      <c r="Q20" s="3">
        <f t="shared" si="1"/>
        <v>408</v>
      </c>
      <c r="R20" s="3">
        <f t="shared" si="1"/>
        <v>459</v>
      </c>
      <c r="S20" s="3">
        <f t="shared" si="1"/>
        <v>663</v>
      </c>
      <c r="T20" s="3">
        <f t="shared" si="1"/>
        <v>816</v>
      </c>
      <c r="U20" s="10"/>
      <c r="V20" s="10"/>
    </row>
    <row r="21" spans="1:22">
      <c r="A21" s="2"/>
      <c r="B21" s="2" t="s">
        <v>40</v>
      </c>
      <c r="C21" s="2"/>
      <c r="D21" s="3">
        <f t="shared" ref="D21:T21" si="2">D4-D19</f>
        <v>-13</v>
      </c>
      <c r="E21" s="3">
        <f t="shared" si="2"/>
        <v>-3</v>
      </c>
      <c r="F21" s="3">
        <f t="shared" si="2"/>
        <v>18</v>
      </c>
      <c r="G21" s="3">
        <f t="shared" si="2"/>
        <v>33</v>
      </c>
      <c r="H21" s="3">
        <f t="shared" si="2"/>
        <v>48</v>
      </c>
      <c r="I21" s="3">
        <f t="shared" si="2"/>
        <v>98</v>
      </c>
      <c r="J21" s="3">
        <f t="shared" si="2"/>
        <v>147</v>
      </c>
      <c r="K21" s="3">
        <f t="shared" si="2"/>
        <v>98</v>
      </c>
      <c r="L21" s="3">
        <f t="shared" si="2"/>
        <v>147</v>
      </c>
      <c r="M21" s="3">
        <f t="shared" si="2"/>
        <v>196</v>
      </c>
      <c r="N21" s="3">
        <f t="shared" si="2"/>
        <v>245</v>
      </c>
      <c r="O21" s="3">
        <f t="shared" si="2"/>
        <v>294</v>
      </c>
      <c r="P21" s="3">
        <f t="shared" si="2"/>
        <v>343</v>
      </c>
      <c r="Q21" s="3">
        <f t="shared" si="2"/>
        <v>392</v>
      </c>
      <c r="R21" s="3">
        <f t="shared" si="2"/>
        <v>441</v>
      </c>
      <c r="S21" s="3">
        <f t="shared" si="2"/>
        <v>637</v>
      </c>
      <c r="T21" s="3">
        <f t="shared" si="2"/>
        <v>784</v>
      </c>
      <c r="U21" s="10"/>
      <c r="V21" s="10"/>
    </row>
    <row r="22" spans="1:22">
      <c r="A22" s="1"/>
      <c r="B22" s="1" t="s">
        <v>41</v>
      </c>
      <c r="C22" s="1"/>
      <c r="D22" s="1">
        <f t="shared" ref="D22:T22" si="3">COUNTIFS(D9:D17,"&lt;"&amp;D20,D9:D17,"&gt;"&amp;D21)</f>
        <v>9</v>
      </c>
      <c r="E22" s="1">
        <f t="shared" si="3"/>
        <v>9</v>
      </c>
      <c r="F22" s="1">
        <f t="shared" si="3"/>
        <v>9</v>
      </c>
      <c r="G22" s="1">
        <f t="shared" si="3"/>
        <v>9</v>
      </c>
      <c r="H22" s="1">
        <f t="shared" si="3"/>
        <v>9</v>
      </c>
      <c r="I22" s="1">
        <f t="shared" si="3"/>
        <v>9</v>
      </c>
      <c r="J22" s="1">
        <f t="shared" si="3"/>
        <v>9</v>
      </c>
      <c r="K22" s="1">
        <f t="shared" si="3"/>
        <v>7</v>
      </c>
      <c r="L22" s="1">
        <f t="shared" si="3"/>
        <v>8</v>
      </c>
      <c r="M22" s="1">
        <f t="shared" si="3"/>
        <v>9</v>
      </c>
      <c r="N22" s="1">
        <f t="shared" si="3"/>
        <v>9</v>
      </c>
      <c r="O22" s="1">
        <f t="shared" si="3"/>
        <v>9</v>
      </c>
      <c r="P22" s="1">
        <f t="shared" si="3"/>
        <v>9</v>
      </c>
      <c r="Q22" s="1">
        <f t="shared" si="3"/>
        <v>9</v>
      </c>
      <c r="R22" s="1">
        <f t="shared" si="3"/>
        <v>9</v>
      </c>
      <c r="S22" s="1">
        <f t="shared" si="3"/>
        <v>9</v>
      </c>
      <c r="T22" s="1">
        <f t="shared" si="3"/>
        <v>9</v>
      </c>
      <c r="U22" s="10"/>
      <c r="V22" s="10"/>
    </row>
    <row r="23" spans="1:22">
      <c r="A23" s="1"/>
      <c r="B23" s="1" t="s">
        <v>42</v>
      </c>
      <c r="C23" s="1"/>
      <c r="D23" s="1">
        <f t="shared" ref="D23:T23" si="4">COUNTA(D9:D17)-D22</f>
        <v>0</v>
      </c>
      <c r="E23" s="1">
        <f t="shared" si="4"/>
        <v>0</v>
      </c>
      <c r="F23" s="1">
        <f t="shared" si="4"/>
        <v>0</v>
      </c>
      <c r="G23" s="1">
        <f t="shared" si="4"/>
        <v>0</v>
      </c>
      <c r="H23" s="1">
        <f t="shared" si="4"/>
        <v>0</v>
      </c>
      <c r="I23" s="1">
        <f t="shared" si="4"/>
        <v>0</v>
      </c>
      <c r="J23" s="1">
        <f t="shared" si="4"/>
        <v>0</v>
      </c>
      <c r="K23" s="1">
        <f t="shared" si="4"/>
        <v>2</v>
      </c>
      <c r="L23" s="1">
        <f t="shared" si="4"/>
        <v>1</v>
      </c>
      <c r="M23" s="1">
        <f t="shared" si="4"/>
        <v>0</v>
      </c>
      <c r="N23" s="1">
        <f t="shared" si="4"/>
        <v>0</v>
      </c>
      <c r="O23" s="1">
        <f t="shared" si="4"/>
        <v>0</v>
      </c>
      <c r="P23" s="1">
        <f t="shared" si="4"/>
        <v>0</v>
      </c>
      <c r="Q23" s="1">
        <f t="shared" si="4"/>
        <v>0</v>
      </c>
      <c r="R23" s="1">
        <f t="shared" si="4"/>
        <v>0</v>
      </c>
      <c r="S23" s="1">
        <f t="shared" si="4"/>
        <v>0</v>
      </c>
      <c r="T23" s="1">
        <f t="shared" si="4"/>
        <v>0</v>
      </c>
      <c r="U23" s="10"/>
      <c r="V23" s="10"/>
    </row>
    <row r="24" spans="1:22">
      <c r="A24" s="1"/>
      <c r="B24" s="1" t="s">
        <v>43</v>
      </c>
      <c r="C24" s="1"/>
      <c r="D24" s="4">
        <f t="shared" ref="D24:T24" si="5">IFERROR((D22/(D22+D23)),"--")</f>
        <v>1</v>
      </c>
      <c r="E24" s="4">
        <f t="shared" si="5"/>
        <v>1</v>
      </c>
      <c r="F24" s="4">
        <f t="shared" si="5"/>
        <v>1</v>
      </c>
      <c r="G24" s="4">
        <f t="shared" si="5"/>
        <v>1</v>
      </c>
      <c r="H24" s="4">
        <f t="shared" si="5"/>
        <v>1</v>
      </c>
      <c r="I24" s="4">
        <f t="shared" si="5"/>
        <v>1</v>
      </c>
      <c r="J24" s="4">
        <f t="shared" si="5"/>
        <v>1</v>
      </c>
      <c r="K24" s="4">
        <f t="shared" si="5"/>
        <v>0.777777777777778</v>
      </c>
      <c r="L24" s="4">
        <f t="shared" si="5"/>
        <v>0.888888888888889</v>
      </c>
      <c r="M24" s="4">
        <f t="shared" si="5"/>
        <v>1</v>
      </c>
      <c r="N24" s="4">
        <f t="shared" si="5"/>
        <v>1</v>
      </c>
      <c r="O24" s="4">
        <f t="shared" si="5"/>
        <v>1</v>
      </c>
      <c r="P24" s="4">
        <f t="shared" si="5"/>
        <v>1</v>
      </c>
      <c r="Q24" s="4">
        <f t="shared" si="5"/>
        <v>1</v>
      </c>
      <c r="R24" s="4">
        <f t="shared" si="5"/>
        <v>1</v>
      </c>
      <c r="S24" s="4">
        <f t="shared" si="5"/>
        <v>1</v>
      </c>
      <c r="T24" s="4">
        <f t="shared" si="5"/>
        <v>1</v>
      </c>
      <c r="U24" s="10"/>
      <c r="V24" s="10"/>
    </row>
    <row r="25" spans="1:22">
      <c r="A25" s="5" t="s">
        <v>44</v>
      </c>
      <c r="B25" s="1" t="s">
        <v>45</v>
      </c>
      <c r="C25" s="1"/>
      <c r="D25" s="1">
        <f t="shared" ref="D25:T25" si="6">D20</f>
        <v>-7</v>
      </c>
      <c r="E25" s="1">
        <f t="shared" si="6"/>
        <v>3</v>
      </c>
      <c r="F25" s="1">
        <f t="shared" si="6"/>
        <v>22</v>
      </c>
      <c r="G25" s="1">
        <f t="shared" si="6"/>
        <v>37</v>
      </c>
      <c r="H25" s="1">
        <f t="shared" si="6"/>
        <v>52</v>
      </c>
      <c r="I25" s="1">
        <f t="shared" si="6"/>
        <v>102</v>
      </c>
      <c r="J25" s="1">
        <f t="shared" si="6"/>
        <v>153</v>
      </c>
      <c r="K25" s="1">
        <f t="shared" si="6"/>
        <v>102</v>
      </c>
      <c r="L25" s="1">
        <f t="shared" si="6"/>
        <v>153</v>
      </c>
      <c r="M25" s="1">
        <f t="shared" si="6"/>
        <v>204</v>
      </c>
      <c r="N25" s="1">
        <f t="shared" si="6"/>
        <v>255</v>
      </c>
      <c r="O25" s="1">
        <f t="shared" si="6"/>
        <v>306</v>
      </c>
      <c r="P25" s="1">
        <f t="shared" si="6"/>
        <v>357</v>
      </c>
      <c r="Q25" s="1">
        <f t="shared" si="6"/>
        <v>408</v>
      </c>
      <c r="R25" s="1">
        <f t="shared" si="6"/>
        <v>459</v>
      </c>
      <c r="S25" s="1">
        <f t="shared" si="6"/>
        <v>663</v>
      </c>
      <c r="T25" s="1">
        <f t="shared" si="6"/>
        <v>816</v>
      </c>
      <c r="U25" s="10"/>
      <c r="V25" s="10"/>
    </row>
    <row r="26" spans="1:22">
      <c r="A26" s="5"/>
      <c r="B26" s="1" t="s">
        <v>46</v>
      </c>
      <c r="C26" s="1"/>
      <c r="D26" s="1">
        <f t="shared" ref="D26:T26" si="7">D21</f>
        <v>-13</v>
      </c>
      <c r="E26" s="1">
        <f t="shared" si="7"/>
        <v>-3</v>
      </c>
      <c r="F26" s="1">
        <f t="shared" si="7"/>
        <v>18</v>
      </c>
      <c r="G26" s="1">
        <f t="shared" si="7"/>
        <v>33</v>
      </c>
      <c r="H26" s="1">
        <f t="shared" si="7"/>
        <v>48</v>
      </c>
      <c r="I26" s="1">
        <f t="shared" si="7"/>
        <v>98</v>
      </c>
      <c r="J26" s="1">
        <f t="shared" si="7"/>
        <v>147</v>
      </c>
      <c r="K26" s="1">
        <f t="shared" si="7"/>
        <v>98</v>
      </c>
      <c r="L26" s="1">
        <f t="shared" si="7"/>
        <v>147</v>
      </c>
      <c r="M26" s="1">
        <f t="shared" si="7"/>
        <v>196</v>
      </c>
      <c r="N26" s="1">
        <f t="shared" si="7"/>
        <v>245</v>
      </c>
      <c r="O26" s="1">
        <f t="shared" si="7"/>
        <v>294</v>
      </c>
      <c r="P26" s="1">
        <f t="shared" si="7"/>
        <v>343</v>
      </c>
      <c r="Q26" s="1">
        <f t="shared" si="7"/>
        <v>392</v>
      </c>
      <c r="R26" s="1">
        <f t="shared" si="7"/>
        <v>441</v>
      </c>
      <c r="S26" s="1">
        <f t="shared" si="7"/>
        <v>637</v>
      </c>
      <c r="T26" s="1">
        <f t="shared" si="7"/>
        <v>784</v>
      </c>
      <c r="U26" s="10"/>
      <c r="V26" s="10"/>
    </row>
    <row r="27" spans="1:22">
      <c r="A27" s="5"/>
      <c r="B27" s="1" t="s">
        <v>47</v>
      </c>
      <c r="C27" s="1"/>
      <c r="D27" s="6">
        <f t="shared" ref="D27:T27" si="8">IFERROR(AVERAGE(D9:D17),"--")</f>
        <v>-9.3</v>
      </c>
      <c r="E27" s="6">
        <f t="shared" si="8"/>
        <v>1.05555555555556</v>
      </c>
      <c r="F27" s="6">
        <f t="shared" si="8"/>
        <v>20.0777777777778</v>
      </c>
      <c r="G27" s="6">
        <f t="shared" si="8"/>
        <v>34.7555555555556</v>
      </c>
      <c r="H27" s="6">
        <f t="shared" si="8"/>
        <v>49.7555555555556</v>
      </c>
      <c r="I27" s="6">
        <f t="shared" si="8"/>
        <v>99.8333333333333</v>
      </c>
      <c r="J27" s="6">
        <f t="shared" si="8"/>
        <v>150.077777777778</v>
      </c>
      <c r="K27" s="6">
        <f t="shared" si="8"/>
        <v>100.533333333333</v>
      </c>
      <c r="L27" s="6">
        <f t="shared" si="8"/>
        <v>151.1</v>
      </c>
      <c r="M27" s="6">
        <f t="shared" si="8"/>
        <v>200.311111111111</v>
      </c>
      <c r="N27" s="6">
        <f t="shared" si="8"/>
        <v>249.533333333333</v>
      </c>
      <c r="O27" s="6">
        <f t="shared" si="8"/>
        <v>300.088888888889</v>
      </c>
      <c r="P27" s="6">
        <f t="shared" si="8"/>
        <v>350.555555555555</v>
      </c>
      <c r="Q27" s="6">
        <f t="shared" si="8"/>
        <v>400.9</v>
      </c>
      <c r="R27" s="6">
        <f t="shared" si="8"/>
        <v>451.688888888889</v>
      </c>
      <c r="S27" s="6">
        <f t="shared" si="8"/>
        <v>650.033333333333</v>
      </c>
      <c r="T27" s="6">
        <f t="shared" si="8"/>
        <v>801</v>
      </c>
      <c r="U27" s="10"/>
      <c r="V27" s="10"/>
    </row>
    <row r="28" spans="1:22">
      <c r="A28" s="5"/>
      <c r="B28" s="1" t="s">
        <v>48</v>
      </c>
      <c r="C28" s="1"/>
      <c r="D28" s="6">
        <f t="shared" ref="D28:T28" si="9">IFERROR(D27-D4,"--")</f>
        <v>0.699999999999999</v>
      </c>
      <c r="E28" s="6">
        <f t="shared" si="9"/>
        <v>1.05555555555556</v>
      </c>
      <c r="F28" s="6">
        <f t="shared" si="9"/>
        <v>0.0777777777777793</v>
      </c>
      <c r="G28" s="6">
        <f t="shared" si="9"/>
        <v>-0.24444444444444</v>
      </c>
      <c r="H28" s="6">
        <f t="shared" si="9"/>
        <v>-0.24444444444444</v>
      </c>
      <c r="I28" s="6">
        <f t="shared" si="9"/>
        <v>-0.166666666666671</v>
      </c>
      <c r="J28" s="6">
        <f t="shared" si="9"/>
        <v>0.0777777777777828</v>
      </c>
      <c r="K28" s="6">
        <f t="shared" si="9"/>
        <v>0.533333333333331</v>
      </c>
      <c r="L28" s="6">
        <f t="shared" si="9"/>
        <v>1.10000000000002</v>
      </c>
      <c r="M28" s="6">
        <f t="shared" si="9"/>
        <v>0.311111111111103</v>
      </c>
      <c r="N28" s="6">
        <f t="shared" si="9"/>
        <v>-0.46666666666664</v>
      </c>
      <c r="O28" s="6">
        <f t="shared" si="9"/>
        <v>0.0888888888889028</v>
      </c>
      <c r="P28" s="6">
        <f t="shared" si="9"/>
        <v>0.555555555555486</v>
      </c>
      <c r="Q28" s="6">
        <f t="shared" si="9"/>
        <v>0.899999999999977</v>
      </c>
      <c r="R28" s="6">
        <f t="shared" si="9"/>
        <v>1.68888888888893</v>
      </c>
      <c r="S28" s="6">
        <f t="shared" si="9"/>
        <v>0.033333333333303</v>
      </c>
      <c r="T28" s="6">
        <f t="shared" si="9"/>
        <v>1</v>
      </c>
      <c r="U28" s="10"/>
      <c r="V28" s="10"/>
    </row>
    <row r="29" spans="1:22">
      <c r="A29" s="5"/>
      <c r="B29" s="1" t="s">
        <v>49</v>
      </c>
      <c r="C29" s="1"/>
      <c r="D29" s="6">
        <f t="shared" ref="D29:T29" si="10">IFERROR(STDEV(D9:D17),"--")</f>
        <v>0.893028554974588</v>
      </c>
      <c r="E29" s="6">
        <f t="shared" si="10"/>
        <v>0.642477842246546</v>
      </c>
      <c r="F29" s="6">
        <f t="shared" si="10"/>
        <v>0.414661843487491</v>
      </c>
      <c r="G29" s="6">
        <f t="shared" si="10"/>
        <v>0.387656778320433</v>
      </c>
      <c r="H29" s="6">
        <f t="shared" si="10"/>
        <v>0.427525177946021</v>
      </c>
      <c r="I29" s="6">
        <f t="shared" si="10"/>
        <v>0.390512483795334</v>
      </c>
      <c r="J29" s="6">
        <f t="shared" si="10"/>
        <v>0.731057073315376</v>
      </c>
      <c r="K29" s="6">
        <f t="shared" si="10"/>
        <v>1.68151717208002</v>
      </c>
      <c r="L29" s="6">
        <f t="shared" si="10"/>
        <v>1.06770782520313</v>
      </c>
      <c r="M29" s="6">
        <f t="shared" si="10"/>
        <v>0.993031273984412</v>
      </c>
      <c r="N29" s="6">
        <f t="shared" si="10"/>
        <v>0.906917857360858</v>
      </c>
      <c r="O29" s="6">
        <f t="shared" si="10"/>
        <v>1.14394541439315</v>
      </c>
      <c r="P29" s="6">
        <f t="shared" si="10"/>
        <v>1.19594221339403</v>
      </c>
      <c r="Q29" s="6">
        <f t="shared" si="10"/>
        <v>1.55804364508829</v>
      </c>
      <c r="R29" s="6">
        <f t="shared" si="10"/>
        <v>2.16474273554876</v>
      </c>
      <c r="S29" s="6">
        <f t="shared" si="10"/>
        <v>2.95127091267473</v>
      </c>
      <c r="T29" s="6">
        <f t="shared" si="10"/>
        <v>4.85360690620903</v>
      </c>
      <c r="U29" s="10"/>
      <c r="V29" s="10"/>
    </row>
    <row r="30" spans="1:22">
      <c r="A30" s="5"/>
      <c r="B30" s="1" t="s">
        <v>50</v>
      </c>
      <c r="C30" s="1"/>
      <c r="D30" s="1">
        <f t="shared" ref="D30:T30" si="11">IFERROR(ABS((D27-D25)/(3*D29)),"--")</f>
        <v>0.85850185013231</v>
      </c>
      <c r="E30" s="1">
        <f t="shared" si="11"/>
        <v>1.00882568320454</v>
      </c>
      <c r="F30" s="1">
        <f t="shared" si="11"/>
        <v>1.54521268547843</v>
      </c>
      <c r="G30" s="1">
        <f t="shared" si="11"/>
        <v>1.92992407198342</v>
      </c>
      <c r="H30" s="1">
        <f t="shared" si="11"/>
        <v>1.74995108298068</v>
      </c>
      <c r="I30" s="1">
        <f t="shared" si="11"/>
        <v>1.84942159903072</v>
      </c>
      <c r="J30" s="1">
        <f t="shared" si="11"/>
        <v>1.33241864367252</v>
      </c>
      <c r="K30" s="1">
        <f t="shared" si="11"/>
        <v>0.29074272746447</v>
      </c>
      <c r="L30" s="1">
        <f t="shared" si="11"/>
        <v>0.593171014001731</v>
      </c>
      <c r="M30" s="1">
        <f t="shared" si="11"/>
        <v>1.23825871535334</v>
      </c>
      <c r="N30" s="1">
        <f t="shared" si="11"/>
        <v>2.00924726250832</v>
      </c>
      <c r="O30" s="1">
        <f t="shared" si="11"/>
        <v>1.72243390775391</v>
      </c>
      <c r="P30" s="1">
        <f t="shared" si="11"/>
        <v>1.79619727783655</v>
      </c>
      <c r="Q30" s="1">
        <f t="shared" si="11"/>
        <v>1.51899895367345</v>
      </c>
      <c r="R30" s="1">
        <f t="shared" si="11"/>
        <v>1.12578598695204</v>
      </c>
      <c r="S30" s="1">
        <f t="shared" si="11"/>
        <v>1.46452913002995</v>
      </c>
      <c r="T30" s="1">
        <f t="shared" si="11"/>
        <v>1.03016171202569</v>
      </c>
      <c r="U30" s="10"/>
      <c r="V30" s="10"/>
    </row>
    <row r="31" spans="1:22">
      <c r="A31" s="5"/>
      <c r="B31" s="1" t="s">
        <v>51</v>
      </c>
      <c r="C31" s="1"/>
      <c r="D31" s="1">
        <f t="shared" ref="D31:T31" si="12">IFERROR(ABS((D26-D27)/(3*D29)),"--")</f>
        <v>1.38106819369111</v>
      </c>
      <c r="E31" s="1">
        <f t="shared" si="12"/>
        <v>2.10412213925518</v>
      </c>
      <c r="F31" s="1">
        <f t="shared" si="12"/>
        <v>1.67025879875414</v>
      </c>
      <c r="G31" s="1">
        <f t="shared" si="12"/>
        <v>1.50954457115536</v>
      </c>
      <c r="H31" s="1">
        <f t="shared" si="12"/>
        <v>1.36877361936113</v>
      </c>
      <c r="I31" s="1">
        <f t="shared" si="12"/>
        <v>1.56489519917983</v>
      </c>
      <c r="J31" s="1">
        <f t="shared" si="12"/>
        <v>1.40334587185281</v>
      </c>
      <c r="K31" s="1">
        <f t="shared" si="12"/>
        <v>0.502191983802266</v>
      </c>
      <c r="L31" s="1">
        <f t="shared" si="12"/>
        <v>1.28000060916165</v>
      </c>
      <c r="M31" s="1">
        <f t="shared" si="12"/>
        <v>1.44712163119607</v>
      </c>
      <c r="N31" s="1">
        <f t="shared" si="12"/>
        <v>1.66620504695814</v>
      </c>
      <c r="O31" s="1">
        <f t="shared" si="12"/>
        <v>1.77423643129539</v>
      </c>
      <c r="P31" s="1">
        <f t="shared" si="12"/>
        <v>2.10588646367039</v>
      </c>
      <c r="Q31" s="1">
        <f t="shared" si="12"/>
        <v>1.90409727995685</v>
      </c>
      <c r="R31" s="1">
        <f t="shared" si="12"/>
        <v>1.64590595660771</v>
      </c>
      <c r="S31" s="1">
        <f t="shared" si="12"/>
        <v>1.47205884278074</v>
      </c>
      <c r="T31" s="1">
        <f t="shared" si="12"/>
        <v>1.16751660696245</v>
      </c>
      <c r="U31" s="10"/>
      <c r="V31" s="10"/>
    </row>
    <row r="32" spans="1:22">
      <c r="A32" s="5"/>
      <c r="B32" s="1" t="s">
        <v>6</v>
      </c>
      <c r="C32" s="1"/>
      <c r="D32" s="1">
        <f t="shared" ref="D32:T32" si="13">IFERROR(MIN(D30,D31),"--")</f>
        <v>0.85850185013231</v>
      </c>
      <c r="E32" s="1">
        <f t="shared" si="13"/>
        <v>1.00882568320454</v>
      </c>
      <c r="F32" s="1">
        <f t="shared" si="13"/>
        <v>1.54521268547843</v>
      </c>
      <c r="G32" s="1">
        <f t="shared" si="13"/>
        <v>1.50954457115536</v>
      </c>
      <c r="H32" s="1">
        <f t="shared" si="13"/>
        <v>1.36877361936113</v>
      </c>
      <c r="I32" s="1">
        <f t="shared" si="13"/>
        <v>1.56489519917983</v>
      </c>
      <c r="J32" s="1">
        <f t="shared" si="13"/>
        <v>1.33241864367252</v>
      </c>
      <c r="K32" s="1">
        <f t="shared" si="13"/>
        <v>0.29074272746447</v>
      </c>
      <c r="L32" s="1">
        <f t="shared" si="13"/>
        <v>0.593171014001731</v>
      </c>
      <c r="M32" s="1">
        <f t="shared" si="13"/>
        <v>1.23825871535334</v>
      </c>
      <c r="N32" s="1">
        <f t="shared" si="13"/>
        <v>1.66620504695814</v>
      </c>
      <c r="O32" s="1">
        <f t="shared" si="13"/>
        <v>1.72243390775391</v>
      </c>
      <c r="P32" s="1">
        <f t="shared" si="13"/>
        <v>1.79619727783655</v>
      </c>
      <c r="Q32" s="1">
        <f t="shared" si="13"/>
        <v>1.51899895367345</v>
      </c>
      <c r="R32" s="1">
        <f t="shared" si="13"/>
        <v>1.12578598695204</v>
      </c>
      <c r="S32" s="1">
        <f t="shared" si="13"/>
        <v>1.46452913002995</v>
      </c>
      <c r="T32" s="1">
        <f t="shared" si="13"/>
        <v>1.03016171202569</v>
      </c>
      <c r="U32" s="10"/>
      <c r="V32" s="10"/>
    </row>
    <row r="33" spans="1:20">
      <c r="A33" s="5"/>
      <c r="B33" s="7" t="s">
        <v>52</v>
      </c>
      <c r="C33" s="7"/>
      <c r="D33" s="7">
        <f>AVERAGE(D32:T32)</f>
        <v>1.27262686613138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</sheetData>
  <mergeCells count="41">
    <mergeCell ref="B3:C3"/>
    <mergeCell ref="D3:J3"/>
    <mergeCell ref="K3:T3"/>
    <mergeCell ref="B4:C4"/>
    <mergeCell ref="B5:C5"/>
    <mergeCell ref="D5:E5"/>
    <mergeCell ref="F5:H5"/>
    <mergeCell ref="I5:J5"/>
    <mergeCell ref="K5:Q5"/>
    <mergeCell ref="R5:T5"/>
    <mergeCell ref="B6:C6"/>
    <mergeCell ref="D6:T6"/>
    <mergeCell ref="B7:C7"/>
    <mergeCell ref="D7:T7"/>
    <mergeCell ref="B8:C8"/>
    <mergeCell ref="D8:T8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D33:T33"/>
    <mergeCell ref="A3:A17"/>
    <mergeCell ref="A18:A24"/>
    <mergeCell ref="A25:A33"/>
    <mergeCell ref="B9:B17"/>
    <mergeCell ref="U3:U8"/>
    <mergeCell ref="V3:V8"/>
    <mergeCell ref="B1:C2"/>
    <mergeCell ref="D1:V2"/>
  </mergeCells>
  <conditionalFormatting sqref="D32:T32">
    <cfRule type="cellIs" dxfId="0" priority="1" operator="lessThan">
      <formula>0.5</formula>
    </cfRule>
  </conditionalFormatting>
  <conditionalFormatting sqref="D9:D17">
    <cfRule type="cellIs" dxfId="1" priority="17" operator="notBetween">
      <formula>$D$21</formula>
      <formula>$D$20</formula>
    </cfRule>
  </conditionalFormatting>
  <conditionalFormatting sqref="E9:E17">
    <cfRule type="cellIs" dxfId="1" priority="18" operator="notBetween">
      <formula>$E$21</formula>
      <formula>$E$20</formula>
    </cfRule>
  </conditionalFormatting>
  <conditionalFormatting sqref="F9:F17">
    <cfRule type="cellIs" dxfId="1" priority="16" operator="notBetween">
      <formula>$F$21</formula>
      <formula>$F$20</formula>
    </cfRule>
  </conditionalFormatting>
  <conditionalFormatting sqref="G9:G17">
    <cfRule type="cellIs" dxfId="1" priority="15" operator="notBetween">
      <formula>$G$21</formula>
      <formula>$G$20</formula>
    </cfRule>
  </conditionalFormatting>
  <conditionalFormatting sqref="H9:H17">
    <cfRule type="cellIs" dxfId="1" priority="14" operator="notBetween">
      <formula>$H$21</formula>
      <formula>$H$20</formula>
    </cfRule>
  </conditionalFormatting>
  <conditionalFormatting sqref="I9:I17">
    <cfRule type="cellIs" dxfId="1" priority="13" operator="notBetween">
      <formula>$I$21</formula>
      <formula>$I$20</formula>
    </cfRule>
  </conditionalFormatting>
  <conditionalFormatting sqref="J9:J17">
    <cfRule type="cellIs" dxfId="1" priority="12" operator="notBetween">
      <formula>$J$21</formula>
      <formula>$J$20</formula>
    </cfRule>
  </conditionalFormatting>
  <conditionalFormatting sqref="K9:K17">
    <cfRule type="cellIs" dxfId="1" priority="11" operator="notBetween">
      <formula>$K$21</formula>
      <formula>$K$20</formula>
    </cfRule>
  </conditionalFormatting>
  <conditionalFormatting sqref="L9:L17">
    <cfRule type="cellIs" dxfId="1" priority="10" operator="notBetween">
      <formula>$L$21</formula>
      <formula>$L$20</formula>
    </cfRule>
  </conditionalFormatting>
  <conditionalFormatting sqref="M9:M17">
    <cfRule type="cellIs" dxfId="1" priority="9" operator="notBetween">
      <formula>$M$21</formula>
      <formula>$M$20</formula>
    </cfRule>
  </conditionalFormatting>
  <conditionalFormatting sqref="N9:N17">
    <cfRule type="cellIs" dxfId="1" priority="8" operator="notBetween">
      <formula>$N$21</formula>
      <formula>$N$20</formula>
    </cfRule>
  </conditionalFormatting>
  <conditionalFormatting sqref="O9:O17">
    <cfRule type="cellIs" dxfId="1" priority="7" operator="notBetween">
      <formula>$O$21</formula>
      <formula>$O$20</formula>
    </cfRule>
  </conditionalFormatting>
  <conditionalFormatting sqref="P9:P17">
    <cfRule type="cellIs" dxfId="1" priority="6" operator="notBetween">
      <formula>$P$21</formula>
      <formula>$P$20</formula>
    </cfRule>
  </conditionalFormatting>
  <conditionalFormatting sqref="Q9:Q17">
    <cfRule type="cellIs" dxfId="1" priority="5" operator="notBetween">
      <formula>$Q$21</formula>
      <formula>$Q$20</formula>
    </cfRule>
  </conditionalFormatting>
  <conditionalFormatting sqref="R9:R17">
    <cfRule type="cellIs" dxfId="1" priority="4" operator="notBetween">
      <formula>$R$21</formula>
      <formula>$R$20</formula>
    </cfRule>
  </conditionalFormatting>
  <conditionalFormatting sqref="S9:S17">
    <cfRule type="cellIs" dxfId="1" priority="3" operator="notBetween">
      <formula>$S$21</formula>
      <formula>$S$20</formula>
    </cfRule>
  </conditionalFormatting>
  <conditionalFormatting sqref="T9:T17">
    <cfRule type="cellIs" dxfId="1" priority="2" operator="notBetween">
      <formula>$T$21</formula>
      <formula>$T$20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workbookViewId="0">
      <selection activeCell="G19" sqref="G19"/>
    </sheetView>
  </sheetViews>
  <sheetFormatPr defaultColWidth="9" defaultRowHeight="13.5"/>
  <cols>
    <col min="1" max="1" width="9" style="11"/>
    <col min="2" max="3" width="13.375" style="11" customWidth="1"/>
    <col min="4" max="5" width="9" style="11"/>
    <col min="6" max="9" width="13.75" style="11"/>
    <col min="10" max="10" width="12.625" style="11"/>
    <col min="11" max="12" width="13.75" style="11"/>
    <col min="13" max="14" width="9" style="11"/>
    <col min="15" max="15" width="12.625" style="11"/>
    <col min="16" max="17" width="9" style="11"/>
    <col min="18" max="20" width="12.625" style="11"/>
    <col min="21" max="16384" width="9" style="11"/>
  </cols>
  <sheetData>
    <row r="1" spans="1:20">
      <c r="A1" s="1"/>
      <c r="B1" s="1" t="s">
        <v>17</v>
      </c>
      <c r="C1" s="1"/>
      <c r="D1" s="1" t="s">
        <v>18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2">
      <c r="A3" s="1" t="s">
        <v>19</v>
      </c>
      <c r="B3" s="1" t="s">
        <v>20</v>
      </c>
      <c r="C3" s="1"/>
      <c r="D3" s="1" t="s">
        <v>21</v>
      </c>
      <c r="E3" s="1"/>
      <c r="F3" s="1"/>
      <c r="G3" s="1"/>
      <c r="H3" s="1"/>
      <c r="I3" s="1"/>
      <c r="J3" s="1"/>
      <c r="K3" s="1" t="s">
        <v>22</v>
      </c>
      <c r="L3" s="1"/>
      <c r="M3" s="1"/>
      <c r="N3" s="1"/>
      <c r="O3" s="1"/>
      <c r="P3" s="1"/>
      <c r="Q3" s="1"/>
      <c r="R3" s="1"/>
      <c r="S3" s="1"/>
      <c r="T3" s="1"/>
      <c r="U3" s="8" t="s">
        <v>23</v>
      </c>
      <c r="V3" s="8" t="s">
        <v>24</v>
      </c>
    </row>
    <row r="4" spans="1:22">
      <c r="A4" s="1"/>
      <c r="B4" s="1" t="s">
        <v>25</v>
      </c>
      <c r="C4" s="1"/>
      <c r="D4" s="1">
        <v>-10</v>
      </c>
      <c r="E4" s="1">
        <v>0</v>
      </c>
      <c r="F4" s="1">
        <v>20</v>
      </c>
      <c r="G4" s="1">
        <v>35</v>
      </c>
      <c r="H4" s="1">
        <v>50</v>
      </c>
      <c r="I4" s="1">
        <v>100</v>
      </c>
      <c r="J4" s="1">
        <v>150</v>
      </c>
      <c r="K4" s="1">
        <v>100</v>
      </c>
      <c r="L4" s="1">
        <v>150</v>
      </c>
      <c r="M4" s="1">
        <v>200</v>
      </c>
      <c r="N4" s="1">
        <v>250</v>
      </c>
      <c r="O4" s="1">
        <v>300</v>
      </c>
      <c r="P4" s="1">
        <v>350</v>
      </c>
      <c r="Q4" s="1">
        <v>400</v>
      </c>
      <c r="R4" s="1">
        <v>450</v>
      </c>
      <c r="S4" s="1">
        <v>650</v>
      </c>
      <c r="T4" s="1">
        <v>800</v>
      </c>
      <c r="U4" s="8"/>
      <c r="V4" s="8"/>
    </row>
    <row r="5" spans="1:22">
      <c r="A5" s="1"/>
      <c r="B5" s="1" t="s">
        <v>26</v>
      </c>
      <c r="C5" s="1"/>
      <c r="D5" s="1" t="s">
        <v>27</v>
      </c>
      <c r="E5" s="1"/>
      <c r="F5" s="1" t="s">
        <v>28</v>
      </c>
      <c r="G5" s="1"/>
      <c r="H5" s="1"/>
      <c r="I5" s="1" t="s">
        <v>29</v>
      </c>
      <c r="J5" s="1"/>
      <c r="K5" s="1" t="s">
        <v>29</v>
      </c>
      <c r="L5" s="1"/>
      <c r="M5" s="1"/>
      <c r="N5" s="1"/>
      <c r="O5" s="1"/>
      <c r="P5" s="1"/>
      <c r="Q5" s="1"/>
      <c r="R5" s="1" t="s">
        <v>30</v>
      </c>
      <c r="S5" s="1"/>
      <c r="T5" s="1"/>
      <c r="U5" s="8"/>
      <c r="V5" s="8"/>
    </row>
    <row r="6" spans="1:22">
      <c r="A6" s="1"/>
      <c r="B6" s="1" t="s">
        <v>31</v>
      </c>
      <c r="C6" s="1"/>
      <c r="D6" s="1" t="s">
        <v>32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/>
      <c r="V6" s="8"/>
    </row>
    <row r="7" spans="1:22">
      <c r="A7" s="1"/>
      <c r="B7" s="1" t="s">
        <v>33</v>
      </c>
      <c r="C7" s="1"/>
      <c r="D7" s="1" t="s">
        <v>53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8"/>
      <c r="V7" s="8"/>
    </row>
    <row r="8" spans="1:22">
      <c r="A8" s="1"/>
      <c r="B8" s="1" t="s">
        <v>34</v>
      </c>
      <c r="C8" s="1"/>
      <c r="D8" s="1" t="s">
        <v>54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8"/>
      <c r="V8" s="8"/>
    </row>
    <row r="9" spans="1:22">
      <c r="A9" s="1"/>
      <c r="B9" s="1" t="s">
        <v>35</v>
      </c>
      <c r="C9" s="1" t="s">
        <v>7</v>
      </c>
      <c r="D9" s="1">
        <v>-8.8</v>
      </c>
      <c r="E9" s="1">
        <v>1.5</v>
      </c>
      <c r="F9" s="1">
        <v>20.3</v>
      </c>
      <c r="G9" s="1">
        <v>34.6</v>
      </c>
      <c r="H9" s="1">
        <v>49.9</v>
      </c>
      <c r="I9" s="1">
        <v>99.8</v>
      </c>
      <c r="J9" s="1">
        <v>149.7</v>
      </c>
      <c r="K9" s="1">
        <v>99.6</v>
      </c>
      <c r="L9" s="1">
        <v>151</v>
      </c>
      <c r="M9" s="1">
        <v>200.8</v>
      </c>
      <c r="N9" s="1">
        <v>251.2</v>
      </c>
      <c r="O9" s="1">
        <v>300.7</v>
      </c>
      <c r="P9" s="1">
        <v>352.5</v>
      </c>
      <c r="Q9" s="1">
        <v>403.3</v>
      </c>
      <c r="R9" s="1">
        <v>454.3</v>
      </c>
      <c r="S9" s="1">
        <v>650.5</v>
      </c>
      <c r="T9" s="1">
        <v>797.7</v>
      </c>
      <c r="U9" s="9"/>
      <c r="V9" s="9"/>
    </row>
    <row r="10" spans="1:22">
      <c r="A10" s="1"/>
      <c r="B10" s="1"/>
      <c r="C10" s="1" t="s">
        <v>8</v>
      </c>
      <c r="D10" s="1">
        <v>-8.2</v>
      </c>
      <c r="E10" s="1">
        <v>2.2</v>
      </c>
      <c r="F10" s="1">
        <v>20.3</v>
      </c>
      <c r="G10" s="1">
        <v>35.2</v>
      </c>
      <c r="H10" s="1">
        <v>50</v>
      </c>
      <c r="I10" s="1">
        <v>100.1</v>
      </c>
      <c r="J10" s="1">
        <v>150.5</v>
      </c>
      <c r="K10" s="1">
        <v>100.1</v>
      </c>
      <c r="L10" s="1">
        <v>150.1</v>
      </c>
      <c r="M10" s="1">
        <v>199.5</v>
      </c>
      <c r="N10" s="1">
        <v>248.4</v>
      </c>
      <c r="O10" s="1">
        <v>299</v>
      </c>
      <c r="P10" s="1">
        <v>348.6</v>
      </c>
      <c r="Q10" s="1">
        <v>399.3</v>
      </c>
      <c r="R10" s="1">
        <v>451.3</v>
      </c>
      <c r="S10" s="1">
        <v>654.5</v>
      </c>
      <c r="T10" s="1">
        <v>807.1</v>
      </c>
      <c r="U10" s="9"/>
      <c r="V10" s="9"/>
    </row>
    <row r="11" spans="1:22">
      <c r="A11" s="1"/>
      <c r="B11" s="1"/>
      <c r="C11" s="1" t="s">
        <v>9</v>
      </c>
      <c r="D11" s="1">
        <v>-9.5</v>
      </c>
      <c r="E11" s="1">
        <v>0.8</v>
      </c>
      <c r="F11" s="1">
        <v>20</v>
      </c>
      <c r="G11" s="1">
        <v>34.7</v>
      </c>
      <c r="H11" s="1">
        <v>49.9</v>
      </c>
      <c r="I11" s="1">
        <v>100.2</v>
      </c>
      <c r="J11" s="1">
        <v>150.9</v>
      </c>
      <c r="K11" s="1">
        <v>100.4</v>
      </c>
      <c r="L11" s="1">
        <v>152.4</v>
      </c>
      <c r="M11" s="1">
        <v>201.9</v>
      </c>
      <c r="N11" s="1">
        <v>251.2</v>
      </c>
      <c r="O11" s="1">
        <v>301.8</v>
      </c>
      <c r="P11" s="1">
        <v>352.9</v>
      </c>
      <c r="Q11" s="1">
        <v>402.1</v>
      </c>
      <c r="R11" s="1">
        <v>453</v>
      </c>
      <c r="S11" s="1">
        <v>652.7</v>
      </c>
      <c r="T11" s="1">
        <v>802.8</v>
      </c>
      <c r="U11" s="9"/>
      <c r="V11" s="9"/>
    </row>
    <row r="12" spans="1:22">
      <c r="A12" s="1"/>
      <c r="B12" s="1"/>
      <c r="C12" s="1" t="s">
        <v>10</v>
      </c>
      <c r="D12" s="1">
        <v>-9.3</v>
      </c>
      <c r="E12" s="1">
        <v>1</v>
      </c>
      <c r="F12" s="1">
        <v>20.2</v>
      </c>
      <c r="G12" s="1">
        <v>34.9</v>
      </c>
      <c r="H12" s="1">
        <v>50.1</v>
      </c>
      <c r="I12" s="1">
        <v>100.3</v>
      </c>
      <c r="J12" s="1">
        <v>149.8</v>
      </c>
      <c r="K12" s="1">
        <v>99.6</v>
      </c>
      <c r="L12" s="1">
        <v>150.1</v>
      </c>
      <c r="M12" s="1">
        <v>199.5</v>
      </c>
      <c r="N12" s="1">
        <v>249.1</v>
      </c>
      <c r="O12" s="1">
        <v>299.3</v>
      </c>
      <c r="P12" s="1">
        <v>349.2</v>
      </c>
      <c r="Q12" s="1">
        <v>400.1</v>
      </c>
      <c r="R12" s="1">
        <v>450.8</v>
      </c>
      <c r="S12" s="1">
        <v>650.6</v>
      </c>
      <c r="T12" s="1">
        <v>801.9</v>
      </c>
      <c r="U12" s="9"/>
      <c r="V12" s="9"/>
    </row>
    <row r="13" spans="1:22">
      <c r="A13" s="1"/>
      <c r="B13" s="1"/>
      <c r="C13" s="1" t="s">
        <v>11</v>
      </c>
      <c r="D13" s="1">
        <v>-9.6</v>
      </c>
      <c r="E13" s="1">
        <v>1.6</v>
      </c>
      <c r="F13" s="1">
        <v>20.2</v>
      </c>
      <c r="G13" s="1">
        <v>35</v>
      </c>
      <c r="H13" s="1">
        <v>50.1</v>
      </c>
      <c r="I13" s="1">
        <v>100.6</v>
      </c>
      <c r="J13" s="1">
        <v>150.9</v>
      </c>
      <c r="K13" s="1">
        <v>98.8</v>
      </c>
      <c r="L13" s="1">
        <v>150</v>
      </c>
      <c r="M13" s="1">
        <v>199.5</v>
      </c>
      <c r="N13" s="1">
        <v>249.1</v>
      </c>
      <c r="O13" s="1">
        <v>300</v>
      </c>
      <c r="P13" s="1">
        <v>350.1</v>
      </c>
      <c r="Q13" s="1">
        <v>401.3</v>
      </c>
      <c r="R13" s="1">
        <v>452</v>
      </c>
      <c r="S13" s="1">
        <v>651.8</v>
      </c>
      <c r="T13" s="1">
        <v>805.1</v>
      </c>
      <c r="U13" s="9"/>
      <c r="V13" s="9"/>
    </row>
    <row r="14" spans="1:22">
      <c r="A14" s="1"/>
      <c r="B14" s="1"/>
      <c r="C14" s="1" t="s">
        <v>13</v>
      </c>
      <c r="D14" s="1">
        <v>-7.9</v>
      </c>
      <c r="E14" s="1">
        <v>1.7</v>
      </c>
      <c r="F14" s="1">
        <v>20.4</v>
      </c>
      <c r="G14" s="1">
        <v>35</v>
      </c>
      <c r="H14" s="1">
        <v>50.1</v>
      </c>
      <c r="I14" s="1">
        <v>99.9</v>
      </c>
      <c r="J14" s="1">
        <v>149.5</v>
      </c>
      <c r="K14" s="1">
        <v>100.4</v>
      </c>
      <c r="L14" s="1">
        <v>150.6</v>
      </c>
      <c r="M14" s="1">
        <v>200.4</v>
      </c>
      <c r="N14" s="1">
        <v>248.8</v>
      </c>
      <c r="O14" s="1">
        <v>298.9</v>
      </c>
      <c r="P14" s="1">
        <v>348.6</v>
      </c>
      <c r="Q14" s="1">
        <v>399.6</v>
      </c>
      <c r="R14" s="1">
        <v>449.6</v>
      </c>
      <c r="S14" s="1">
        <v>647.5</v>
      </c>
      <c r="T14" s="1">
        <v>798.2</v>
      </c>
      <c r="U14" s="9"/>
      <c r="V14" s="9"/>
    </row>
    <row r="15" spans="1:22">
      <c r="A15" s="1"/>
      <c r="B15" s="1"/>
      <c r="C15" s="1" t="s">
        <v>14</v>
      </c>
      <c r="D15" s="1">
        <v>-9</v>
      </c>
      <c r="E15" s="1">
        <v>0.9</v>
      </c>
      <c r="F15" s="1">
        <v>19.9</v>
      </c>
      <c r="G15" s="1">
        <v>34.4</v>
      </c>
      <c r="H15" s="1">
        <v>49.4</v>
      </c>
      <c r="I15" s="1">
        <v>99.8</v>
      </c>
      <c r="J15" s="1">
        <v>149.8</v>
      </c>
      <c r="K15" s="1">
        <v>98.7</v>
      </c>
      <c r="L15" s="1">
        <v>150.6</v>
      </c>
      <c r="M15" s="1">
        <v>200.4</v>
      </c>
      <c r="N15" s="1">
        <v>250.7</v>
      </c>
      <c r="O15" s="1">
        <v>301.4</v>
      </c>
      <c r="P15" s="1">
        <v>352.4</v>
      </c>
      <c r="Q15" s="1">
        <v>403.7</v>
      </c>
      <c r="R15" s="1">
        <v>454.3</v>
      </c>
      <c r="S15" s="1">
        <v>651.3</v>
      </c>
      <c r="T15" s="1">
        <v>802.6</v>
      </c>
      <c r="U15" s="9"/>
      <c r="V15" s="9"/>
    </row>
    <row r="16" spans="1:22">
      <c r="A16" s="1"/>
      <c r="B16" s="1"/>
      <c r="C16" s="1" t="s">
        <v>15</v>
      </c>
      <c r="D16" s="1">
        <v>-9.1</v>
      </c>
      <c r="E16" s="1">
        <v>1.7</v>
      </c>
      <c r="F16" s="1">
        <v>20.2</v>
      </c>
      <c r="G16" s="1">
        <v>34.8</v>
      </c>
      <c r="H16" s="1">
        <v>50</v>
      </c>
      <c r="I16" s="1">
        <v>100.1</v>
      </c>
      <c r="J16" s="1">
        <v>150.8</v>
      </c>
      <c r="K16" s="1">
        <v>101.4</v>
      </c>
      <c r="L16" s="1">
        <v>151.4</v>
      </c>
      <c r="M16" s="1">
        <v>200.3</v>
      </c>
      <c r="N16" s="1">
        <v>249.9</v>
      </c>
      <c r="O16" s="1">
        <v>300.1</v>
      </c>
      <c r="P16" s="1">
        <v>350.7</v>
      </c>
      <c r="Q16" s="1">
        <v>401.5</v>
      </c>
      <c r="R16" s="1">
        <v>452.7</v>
      </c>
      <c r="S16" s="1">
        <v>653.1</v>
      </c>
      <c r="T16" s="1">
        <v>808.2</v>
      </c>
      <c r="U16" s="9"/>
      <c r="V16" s="9"/>
    </row>
    <row r="17" spans="1:22">
      <c r="A17" s="1"/>
      <c r="B17" s="1"/>
      <c r="C17" s="1" t="s">
        <v>16</v>
      </c>
      <c r="D17" s="1">
        <v>-9</v>
      </c>
      <c r="E17" s="1">
        <v>0.3</v>
      </c>
      <c r="F17" s="1">
        <v>20.4</v>
      </c>
      <c r="G17" s="1">
        <v>34.6</v>
      </c>
      <c r="H17" s="1">
        <v>50</v>
      </c>
      <c r="I17" s="1">
        <v>99.9</v>
      </c>
      <c r="J17" s="1">
        <v>150</v>
      </c>
      <c r="K17" s="1">
        <v>99.3</v>
      </c>
      <c r="L17" s="1">
        <v>150.6</v>
      </c>
      <c r="M17" s="1">
        <v>201.2</v>
      </c>
      <c r="N17" s="1">
        <v>250.8</v>
      </c>
      <c r="O17" s="1">
        <v>301.7</v>
      </c>
      <c r="P17" s="1">
        <v>349.7</v>
      </c>
      <c r="Q17" s="1">
        <v>402.5</v>
      </c>
      <c r="R17" s="1">
        <v>453.6</v>
      </c>
      <c r="S17" s="1">
        <v>650.9</v>
      </c>
      <c r="T17" s="1">
        <v>798.3</v>
      </c>
      <c r="U17" s="9"/>
      <c r="V17" s="9"/>
    </row>
    <row r="18" spans="1:20">
      <c r="A18" s="1" t="s">
        <v>36</v>
      </c>
      <c r="B18" s="1" t="s">
        <v>37</v>
      </c>
      <c r="C18" s="1"/>
      <c r="D18" s="1">
        <v>3</v>
      </c>
      <c r="E18" s="1">
        <v>3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</row>
    <row r="19" spans="1:20">
      <c r="A19" s="1"/>
      <c r="B19" s="1" t="s">
        <v>38</v>
      </c>
      <c r="C19" s="1"/>
      <c r="D19" s="1">
        <f>MAX(D18,D4*D18/100)</f>
        <v>3</v>
      </c>
      <c r="E19" s="1">
        <f>MAX(E18,E4*E18/100)</f>
        <v>3</v>
      </c>
      <c r="F19" s="1">
        <f t="shared" ref="E19:T19" si="0">MAX(F18,F4*F18/100)</f>
        <v>2</v>
      </c>
      <c r="G19" s="1">
        <f t="shared" si="0"/>
        <v>2</v>
      </c>
      <c r="H19" s="1">
        <f t="shared" si="0"/>
        <v>2</v>
      </c>
      <c r="I19" s="1">
        <f t="shared" si="0"/>
        <v>2</v>
      </c>
      <c r="J19" s="1">
        <f t="shared" si="0"/>
        <v>3</v>
      </c>
      <c r="K19" s="1">
        <f t="shared" si="0"/>
        <v>2</v>
      </c>
      <c r="L19" s="1">
        <f t="shared" si="0"/>
        <v>3</v>
      </c>
      <c r="M19" s="1">
        <f t="shared" si="0"/>
        <v>4</v>
      </c>
      <c r="N19" s="1">
        <f t="shared" si="0"/>
        <v>5</v>
      </c>
      <c r="O19" s="1">
        <f t="shared" si="0"/>
        <v>6</v>
      </c>
      <c r="P19" s="1">
        <f t="shared" si="0"/>
        <v>7</v>
      </c>
      <c r="Q19" s="1">
        <f t="shared" si="0"/>
        <v>8</v>
      </c>
      <c r="R19" s="1">
        <f t="shared" si="0"/>
        <v>9</v>
      </c>
      <c r="S19" s="1">
        <f t="shared" si="0"/>
        <v>13</v>
      </c>
      <c r="T19" s="1">
        <f t="shared" si="0"/>
        <v>16</v>
      </c>
    </row>
    <row r="20" spans="1:20">
      <c r="A20" s="2"/>
      <c r="B20" s="2" t="s">
        <v>39</v>
      </c>
      <c r="C20" s="2"/>
      <c r="D20" s="3">
        <f>D4+D19</f>
        <v>-7</v>
      </c>
      <c r="E20" s="3">
        <f t="shared" ref="E20:T20" si="1">E4+E19</f>
        <v>3</v>
      </c>
      <c r="F20" s="3">
        <f t="shared" si="1"/>
        <v>22</v>
      </c>
      <c r="G20" s="3">
        <f t="shared" si="1"/>
        <v>37</v>
      </c>
      <c r="H20" s="3">
        <f t="shared" si="1"/>
        <v>52</v>
      </c>
      <c r="I20" s="3">
        <f t="shared" si="1"/>
        <v>102</v>
      </c>
      <c r="J20" s="3">
        <f t="shared" si="1"/>
        <v>153</v>
      </c>
      <c r="K20" s="3">
        <f t="shared" si="1"/>
        <v>102</v>
      </c>
      <c r="L20" s="3">
        <f t="shared" si="1"/>
        <v>153</v>
      </c>
      <c r="M20" s="3">
        <f t="shared" si="1"/>
        <v>204</v>
      </c>
      <c r="N20" s="3">
        <f t="shared" si="1"/>
        <v>255</v>
      </c>
      <c r="O20" s="3">
        <f t="shared" si="1"/>
        <v>306</v>
      </c>
      <c r="P20" s="3">
        <f t="shared" si="1"/>
        <v>357</v>
      </c>
      <c r="Q20" s="3">
        <f t="shared" si="1"/>
        <v>408</v>
      </c>
      <c r="R20" s="3">
        <f t="shared" si="1"/>
        <v>459</v>
      </c>
      <c r="S20" s="3">
        <f t="shared" si="1"/>
        <v>663</v>
      </c>
      <c r="T20" s="3">
        <f t="shared" si="1"/>
        <v>816</v>
      </c>
    </row>
    <row r="21" spans="1:20">
      <c r="A21" s="2"/>
      <c r="B21" s="2" t="s">
        <v>40</v>
      </c>
      <c r="C21" s="2"/>
      <c r="D21" s="3">
        <f>D4-D19</f>
        <v>-13</v>
      </c>
      <c r="E21" s="3">
        <f t="shared" ref="E21:T21" si="2">E4-E19</f>
        <v>-3</v>
      </c>
      <c r="F21" s="3">
        <f t="shared" si="2"/>
        <v>18</v>
      </c>
      <c r="G21" s="3">
        <f t="shared" si="2"/>
        <v>33</v>
      </c>
      <c r="H21" s="3">
        <f t="shared" si="2"/>
        <v>48</v>
      </c>
      <c r="I21" s="3">
        <f t="shared" si="2"/>
        <v>98</v>
      </c>
      <c r="J21" s="3">
        <f t="shared" si="2"/>
        <v>147</v>
      </c>
      <c r="K21" s="3">
        <f t="shared" si="2"/>
        <v>98</v>
      </c>
      <c r="L21" s="3">
        <f t="shared" si="2"/>
        <v>147</v>
      </c>
      <c r="M21" s="3">
        <f t="shared" si="2"/>
        <v>196</v>
      </c>
      <c r="N21" s="3">
        <f t="shared" si="2"/>
        <v>245</v>
      </c>
      <c r="O21" s="3">
        <f t="shared" si="2"/>
        <v>294</v>
      </c>
      <c r="P21" s="3">
        <f t="shared" si="2"/>
        <v>343</v>
      </c>
      <c r="Q21" s="3">
        <f t="shared" si="2"/>
        <v>392</v>
      </c>
      <c r="R21" s="3">
        <f t="shared" si="2"/>
        <v>441</v>
      </c>
      <c r="S21" s="3">
        <f t="shared" si="2"/>
        <v>637</v>
      </c>
      <c r="T21" s="3">
        <f t="shared" si="2"/>
        <v>784</v>
      </c>
    </row>
    <row r="22" spans="1:20">
      <c r="A22" s="1"/>
      <c r="B22" s="1" t="s">
        <v>41</v>
      </c>
      <c r="C22" s="1"/>
      <c r="D22" s="1">
        <f t="shared" ref="D22:T22" si="3">COUNTIFS(D9:D17,"&lt;"&amp;D20,D9:D17,"&gt;"&amp;D21)</f>
        <v>9</v>
      </c>
      <c r="E22" s="1">
        <f t="shared" si="3"/>
        <v>9</v>
      </c>
      <c r="F22" s="1">
        <f t="shared" si="3"/>
        <v>9</v>
      </c>
      <c r="G22" s="1">
        <f t="shared" si="3"/>
        <v>9</v>
      </c>
      <c r="H22" s="1">
        <f t="shared" si="3"/>
        <v>9</v>
      </c>
      <c r="I22" s="1">
        <f t="shared" si="3"/>
        <v>9</v>
      </c>
      <c r="J22" s="1">
        <f t="shared" si="3"/>
        <v>9</v>
      </c>
      <c r="K22" s="1">
        <f t="shared" si="3"/>
        <v>9</v>
      </c>
      <c r="L22" s="1">
        <f t="shared" si="3"/>
        <v>9</v>
      </c>
      <c r="M22" s="1">
        <f t="shared" si="3"/>
        <v>9</v>
      </c>
      <c r="N22" s="1">
        <f t="shared" si="3"/>
        <v>9</v>
      </c>
      <c r="O22" s="1">
        <f t="shared" si="3"/>
        <v>9</v>
      </c>
      <c r="P22" s="1">
        <f t="shared" si="3"/>
        <v>9</v>
      </c>
      <c r="Q22" s="1">
        <f t="shared" si="3"/>
        <v>9</v>
      </c>
      <c r="R22" s="1">
        <f t="shared" si="3"/>
        <v>9</v>
      </c>
      <c r="S22" s="1">
        <f t="shared" si="3"/>
        <v>9</v>
      </c>
      <c r="T22" s="1">
        <f t="shared" si="3"/>
        <v>9</v>
      </c>
    </row>
    <row r="23" spans="1:20">
      <c r="A23" s="1"/>
      <c r="B23" s="1" t="s">
        <v>42</v>
      </c>
      <c r="C23" s="1"/>
      <c r="D23" s="1">
        <f t="shared" ref="D23:T23" si="4">COUNTA(D9:D17)-D22</f>
        <v>0</v>
      </c>
      <c r="E23" s="1">
        <f t="shared" si="4"/>
        <v>0</v>
      </c>
      <c r="F23" s="1">
        <f t="shared" si="4"/>
        <v>0</v>
      </c>
      <c r="G23" s="1">
        <f t="shared" si="4"/>
        <v>0</v>
      </c>
      <c r="H23" s="1">
        <f t="shared" si="4"/>
        <v>0</v>
      </c>
      <c r="I23" s="1">
        <f t="shared" si="4"/>
        <v>0</v>
      </c>
      <c r="J23" s="1">
        <f t="shared" si="4"/>
        <v>0</v>
      </c>
      <c r="K23" s="1">
        <f t="shared" si="4"/>
        <v>0</v>
      </c>
      <c r="L23" s="1">
        <f t="shared" si="4"/>
        <v>0</v>
      </c>
      <c r="M23" s="1">
        <f t="shared" si="4"/>
        <v>0</v>
      </c>
      <c r="N23" s="1">
        <f t="shared" si="4"/>
        <v>0</v>
      </c>
      <c r="O23" s="1">
        <f t="shared" si="4"/>
        <v>0</v>
      </c>
      <c r="P23" s="1">
        <f t="shared" si="4"/>
        <v>0</v>
      </c>
      <c r="Q23" s="1">
        <f t="shared" si="4"/>
        <v>0</v>
      </c>
      <c r="R23" s="1">
        <f t="shared" si="4"/>
        <v>0</v>
      </c>
      <c r="S23" s="1">
        <f t="shared" si="4"/>
        <v>0</v>
      </c>
      <c r="T23" s="1">
        <f t="shared" si="4"/>
        <v>0</v>
      </c>
    </row>
    <row r="24" spans="1:20">
      <c r="A24" s="1"/>
      <c r="B24" s="1" t="s">
        <v>43</v>
      </c>
      <c r="C24" s="1"/>
      <c r="D24" s="4">
        <f t="shared" ref="D24:T24" si="5">IFERROR((D22/(D22+D23)),"--")</f>
        <v>1</v>
      </c>
      <c r="E24" s="4">
        <f t="shared" si="5"/>
        <v>1</v>
      </c>
      <c r="F24" s="4">
        <f t="shared" si="5"/>
        <v>1</v>
      </c>
      <c r="G24" s="4">
        <f t="shared" si="5"/>
        <v>1</v>
      </c>
      <c r="H24" s="4">
        <f t="shared" si="5"/>
        <v>1</v>
      </c>
      <c r="I24" s="4">
        <f t="shared" si="5"/>
        <v>1</v>
      </c>
      <c r="J24" s="4">
        <f t="shared" si="5"/>
        <v>1</v>
      </c>
      <c r="K24" s="4">
        <f t="shared" si="5"/>
        <v>1</v>
      </c>
      <c r="L24" s="4">
        <f t="shared" si="5"/>
        <v>1</v>
      </c>
      <c r="M24" s="4">
        <f t="shared" si="5"/>
        <v>1</v>
      </c>
      <c r="N24" s="4">
        <f t="shared" si="5"/>
        <v>1</v>
      </c>
      <c r="O24" s="4">
        <f t="shared" si="5"/>
        <v>1</v>
      </c>
      <c r="P24" s="4">
        <f t="shared" si="5"/>
        <v>1</v>
      </c>
      <c r="Q24" s="4">
        <f t="shared" si="5"/>
        <v>1</v>
      </c>
      <c r="R24" s="4">
        <f t="shared" si="5"/>
        <v>1</v>
      </c>
      <c r="S24" s="4">
        <f t="shared" si="5"/>
        <v>1</v>
      </c>
      <c r="T24" s="4">
        <f t="shared" si="5"/>
        <v>1</v>
      </c>
    </row>
    <row r="25" spans="1:20">
      <c r="A25" s="5" t="s">
        <v>44</v>
      </c>
      <c r="B25" s="12" t="s">
        <v>45</v>
      </c>
      <c r="C25" s="1"/>
      <c r="D25" s="1">
        <f>D20</f>
        <v>-7</v>
      </c>
      <c r="E25" s="1">
        <f t="shared" ref="E25:T25" si="6">E20</f>
        <v>3</v>
      </c>
      <c r="F25" s="1">
        <f t="shared" si="6"/>
        <v>22</v>
      </c>
      <c r="G25" s="1">
        <f t="shared" si="6"/>
        <v>37</v>
      </c>
      <c r="H25" s="1">
        <f t="shared" si="6"/>
        <v>52</v>
      </c>
      <c r="I25" s="1">
        <f t="shared" si="6"/>
        <v>102</v>
      </c>
      <c r="J25" s="1">
        <f t="shared" si="6"/>
        <v>153</v>
      </c>
      <c r="K25" s="1">
        <f t="shared" si="6"/>
        <v>102</v>
      </c>
      <c r="L25" s="1">
        <f t="shared" si="6"/>
        <v>153</v>
      </c>
      <c r="M25" s="1">
        <f t="shared" si="6"/>
        <v>204</v>
      </c>
      <c r="N25" s="1">
        <f t="shared" si="6"/>
        <v>255</v>
      </c>
      <c r="O25" s="1">
        <f t="shared" si="6"/>
        <v>306</v>
      </c>
      <c r="P25" s="1">
        <f t="shared" si="6"/>
        <v>357</v>
      </c>
      <c r="Q25" s="1">
        <f t="shared" si="6"/>
        <v>408</v>
      </c>
      <c r="R25" s="1">
        <f t="shared" si="6"/>
        <v>459</v>
      </c>
      <c r="S25" s="1">
        <f t="shared" si="6"/>
        <v>663</v>
      </c>
      <c r="T25" s="1">
        <f t="shared" si="6"/>
        <v>816</v>
      </c>
    </row>
    <row r="26" spans="1:20">
      <c r="A26" s="5"/>
      <c r="B26" s="12" t="s">
        <v>46</v>
      </c>
      <c r="C26" s="1"/>
      <c r="D26" s="1">
        <f>D21</f>
        <v>-13</v>
      </c>
      <c r="E26" s="1">
        <f t="shared" ref="E26:T26" si="7">E21</f>
        <v>-3</v>
      </c>
      <c r="F26" s="1">
        <f t="shared" si="7"/>
        <v>18</v>
      </c>
      <c r="G26" s="1">
        <f t="shared" si="7"/>
        <v>33</v>
      </c>
      <c r="H26" s="1">
        <f t="shared" si="7"/>
        <v>48</v>
      </c>
      <c r="I26" s="1">
        <f t="shared" si="7"/>
        <v>98</v>
      </c>
      <c r="J26" s="1">
        <f t="shared" si="7"/>
        <v>147</v>
      </c>
      <c r="K26" s="1">
        <f t="shared" si="7"/>
        <v>98</v>
      </c>
      <c r="L26" s="1">
        <f t="shared" si="7"/>
        <v>147</v>
      </c>
      <c r="M26" s="1">
        <f t="shared" si="7"/>
        <v>196</v>
      </c>
      <c r="N26" s="1">
        <f t="shared" si="7"/>
        <v>245</v>
      </c>
      <c r="O26" s="1">
        <f t="shared" si="7"/>
        <v>294</v>
      </c>
      <c r="P26" s="1">
        <f t="shared" si="7"/>
        <v>343</v>
      </c>
      <c r="Q26" s="1">
        <f t="shared" si="7"/>
        <v>392</v>
      </c>
      <c r="R26" s="1">
        <f t="shared" si="7"/>
        <v>441</v>
      </c>
      <c r="S26" s="1">
        <f t="shared" si="7"/>
        <v>637</v>
      </c>
      <c r="T26" s="1">
        <f t="shared" si="7"/>
        <v>784</v>
      </c>
    </row>
    <row r="27" spans="1:20">
      <c r="A27" s="5"/>
      <c r="B27" s="12" t="s">
        <v>47</v>
      </c>
      <c r="C27" s="1"/>
      <c r="D27" s="6">
        <f>IFERROR(AVERAGE(D9:D17),"--")</f>
        <v>-8.93333333333333</v>
      </c>
      <c r="E27" s="6">
        <f t="shared" ref="E27:T27" si="8">IFERROR(AVERAGE(E9:E17),"--")</f>
        <v>1.3</v>
      </c>
      <c r="F27" s="6">
        <f t="shared" si="8"/>
        <v>20.2111111111111</v>
      </c>
      <c r="G27" s="6">
        <f t="shared" si="8"/>
        <v>34.8</v>
      </c>
      <c r="H27" s="6">
        <f t="shared" si="8"/>
        <v>49.9444444444444</v>
      </c>
      <c r="I27" s="6">
        <f t="shared" si="8"/>
        <v>100.077777777778</v>
      </c>
      <c r="J27" s="6">
        <f t="shared" si="8"/>
        <v>150.211111111111</v>
      </c>
      <c r="K27" s="6">
        <f t="shared" si="8"/>
        <v>99.8111111111111</v>
      </c>
      <c r="L27" s="6">
        <f t="shared" si="8"/>
        <v>150.755555555556</v>
      </c>
      <c r="M27" s="6">
        <f t="shared" si="8"/>
        <v>200.388888888889</v>
      </c>
      <c r="N27" s="6">
        <f t="shared" si="8"/>
        <v>249.911111111111</v>
      </c>
      <c r="O27" s="6">
        <f t="shared" si="8"/>
        <v>300.322222222222</v>
      </c>
      <c r="P27" s="6">
        <f t="shared" si="8"/>
        <v>350.522222222222</v>
      </c>
      <c r="Q27" s="6">
        <f t="shared" si="8"/>
        <v>401.488888888889</v>
      </c>
      <c r="R27" s="6">
        <f t="shared" si="8"/>
        <v>452.4</v>
      </c>
      <c r="S27" s="6">
        <f t="shared" si="8"/>
        <v>651.433333333333</v>
      </c>
      <c r="T27" s="6">
        <f t="shared" si="8"/>
        <v>802.433333333333</v>
      </c>
    </row>
    <row r="28" spans="1:20">
      <c r="A28" s="5"/>
      <c r="B28" s="12" t="s">
        <v>48</v>
      </c>
      <c r="C28" s="1"/>
      <c r="D28" s="6">
        <f t="shared" ref="D28:T28" si="9">IFERROR(D27-D4,"--")</f>
        <v>1.06666666666667</v>
      </c>
      <c r="E28" s="6">
        <f t="shared" si="9"/>
        <v>1.3</v>
      </c>
      <c r="F28" s="6">
        <f t="shared" si="9"/>
        <v>0.211111111111112</v>
      </c>
      <c r="G28" s="6">
        <f t="shared" si="9"/>
        <v>-0.199999999999996</v>
      </c>
      <c r="H28" s="6">
        <f t="shared" si="9"/>
        <v>-0.0555555555555571</v>
      </c>
      <c r="I28" s="6">
        <f t="shared" si="9"/>
        <v>0.0777777777777686</v>
      </c>
      <c r="J28" s="6">
        <f t="shared" si="9"/>
        <v>0.211111111111109</v>
      </c>
      <c r="K28" s="6">
        <f t="shared" si="9"/>
        <v>-0.188888888888883</v>
      </c>
      <c r="L28" s="6">
        <f t="shared" si="9"/>
        <v>0.75555555555556</v>
      </c>
      <c r="M28" s="6">
        <f t="shared" si="9"/>
        <v>0.388888888888914</v>
      </c>
      <c r="N28" s="6">
        <f t="shared" si="9"/>
        <v>-0.0888888888888459</v>
      </c>
      <c r="O28" s="6">
        <f t="shared" si="9"/>
        <v>0.322222222222194</v>
      </c>
      <c r="P28" s="6">
        <f t="shared" si="9"/>
        <v>0.522222222222183</v>
      </c>
      <c r="Q28" s="6">
        <f t="shared" si="9"/>
        <v>1.48888888888888</v>
      </c>
      <c r="R28" s="6">
        <f t="shared" si="9"/>
        <v>2.39999999999992</v>
      </c>
      <c r="S28" s="6">
        <f t="shared" si="9"/>
        <v>1.43333333333339</v>
      </c>
      <c r="T28" s="6">
        <f t="shared" si="9"/>
        <v>2.43333333333339</v>
      </c>
    </row>
    <row r="29" spans="1:20">
      <c r="A29" s="5"/>
      <c r="B29" s="12" t="s">
        <v>49</v>
      </c>
      <c r="C29" s="1"/>
      <c r="D29" s="6">
        <f t="shared" ref="D29:T29" si="10">IFERROR(STDEV(D9:D17),"--")</f>
        <v>0.565685424949238</v>
      </c>
      <c r="E29" s="6">
        <f t="shared" si="10"/>
        <v>0.587367006223537</v>
      </c>
      <c r="F29" s="6">
        <f t="shared" si="10"/>
        <v>0.169148192751537</v>
      </c>
      <c r="G29" s="6">
        <f t="shared" si="10"/>
        <v>0.25</v>
      </c>
      <c r="H29" s="6">
        <f t="shared" si="10"/>
        <v>0.218581284143401</v>
      </c>
      <c r="I29" s="6">
        <f t="shared" si="10"/>
        <v>0.263523138347363</v>
      </c>
      <c r="J29" s="6">
        <f t="shared" si="10"/>
        <v>0.562237593114436</v>
      </c>
      <c r="K29" s="6">
        <f t="shared" si="10"/>
        <v>0.859424872290252</v>
      </c>
      <c r="L29" s="6">
        <f t="shared" si="10"/>
        <v>0.765034494501904</v>
      </c>
      <c r="M29" s="6">
        <f t="shared" si="10"/>
        <v>0.828318242652612</v>
      </c>
      <c r="N29" s="6">
        <f t="shared" si="10"/>
        <v>1.09366864776819</v>
      </c>
      <c r="O29" s="6">
        <f t="shared" si="10"/>
        <v>1.13773654439173</v>
      </c>
      <c r="P29" s="6">
        <f t="shared" si="10"/>
        <v>1.69983659345374</v>
      </c>
      <c r="Q29" s="6">
        <f t="shared" si="10"/>
        <v>1.57674066070203</v>
      </c>
      <c r="R29" s="6">
        <f t="shared" si="10"/>
        <v>1.61554944214035</v>
      </c>
      <c r="S29" s="6">
        <f t="shared" si="10"/>
        <v>1.97673974007708</v>
      </c>
      <c r="T29" s="6">
        <f t="shared" si="10"/>
        <v>3.87298334620742</v>
      </c>
    </row>
    <row r="30" spans="1:20">
      <c r="A30" s="5"/>
      <c r="B30" s="12" t="s">
        <v>50</v>
      </c>
      <c r="C30" s="1"/>
      <c r="D30" s="1">
        <f t="shared" ref="D30:T30" si="11">IFERROR(ABS((D27-D25)/(3*D29)),"--")</f>
        <v>1.13922759191166</v>
      </c>
      <c r="E30" s="1">
        <f t="shared" si="11"/>
        <v>0.964757401526582</v>
      </c>
      <c r="F30" s="1">
        <f t="shared" si="11"/>
        <v>3.52528919521002</v>
      </c>
      <c r="G30" s="1">
        <f t="shared" si="11"/>
        <v>2.93333333333332</v>
      </c>
      <c r="H30" s="1">
        <f t="shared" si="11"/>
        <v>3.13469283461464</v>
      </c>
      <c r="I30" s="1">
        <f t="shared" si="11"/>
        <v>2.43144015648505</v>
      </c>
      <c r="J30" s="1">
        <f t="shared" si="11"/>
        <v>1.65344623165463</v>
      </c>
      <c r="K30" s="1">
        <f t="shared" si="11"/>
        <v>0.848974300319309</v>
      </c>
      <c r="L30" s="1">
        <f t="shared" si="11"/>
        <v>0.977927339910665</v>
      </c>
      <c r="M30" s="1">
        <f t="shared" si="11"/>
        <v>1.45318989939054</v>
      </c>
      <c r="N30" s="1">
        <f t="shared" si="11"/>
        <v>1.55101483411621</v>
      </c>
      <c r="O30" s="1">
        <f t="shared" si="11"/>
        <v>1.66347174301625</v>
      </c>
      <c r="P30" s="1">
        <f t="shared" si="11"/>
        <v>1.27027460614439</v>
      </c>
      <c r="Q30" s="1">
        <f t="shared" si="11"/>
        <v>1.37649166059054</v>
      </c>
      <c r="R30" s="1">
        <f t="shared" si="11"/>
        <v>1.3617658132984</v>
      </c>
      <c r="S30" s="1">
        <f t="shared" si="11"/>
        <v>1.95046190319682</v>
      </c>
      <c r="T30" s="1">
        <f t="shared" si="11"/>
        <v>1.16763275696771</v>
      </c>
    </row>
    <row r="31" spans="1:20">
      <c r="A31" s="5"/>
      <c r="B31" s="12" t="s">
        <v>51</v>
      </c>
      <c r="C31" s="1"/>
      <c r="D31" s="1">
        <f t="shared" ref="D31:S31" si="12">IFERROR(ABS((D26-D27)/(3*D29)),"--")</f>
        <v>2.39630631402108</v>
      </c>
      <c r="E31" s="1">
        <f t="shared" si="12"/>
        <v>2.44026872150841</v>
      </c>
      <c r="F31" s="1">
        <f t="shared" si="12"/>
        <v>4.35734503010432</v>
      </c>
      <c r="G31" s="1">
        <f t="shared" si="12"/>
        <v>2.4</v>
      </c>
      <c r="H31" s="1">
        <f t="shared" si="12"/>
        <v>2.96524997868952</v>
      </c>
      <c r="I31" s="1">
        <f t="shared" si="12"/>
        <v>2.62820409978439</v>
      </c>
      <c r="J31" s="1">
        <f t="shared" si="12"/>
        <v>1.90376876871787</v>
      </c>
      <c r="K31" s="1">
        <f t="shared" si="12"/>
        <v>0.702450817015473</v>
      </c>
      <c r="L31" s="1">
        <f t="shared" si="12"/>
        <v>1.63633386579112</v>
      </c>
      <c r="M31" s="1">
        <f t="shared" si="12"/>
        <v>1.7661846469516</v>
      </c>
      <c r="N31" s="1">
        <f t="shared" si="12"/>
        <v>1.4968309097803</v>
      </c>
      <c r="O31" s="1">
        <f t="shared" si="12"/>
        <v>1.85228066883804</v>
      </c>
      <c r="P31" s="1">
        <f t="shared" si="12"/>
        <v>1.47508732137178</v>
      </c>
      <c r="Q31" s="1">
        <f t="shared" si="12"/>
        <v>2.00601344393229</v>
      </c>
      <c r="R31" s="1">
        <f t="shared" si="12"/>
        <v>2.35214095024264</v>
      </c>
      <c r="S31" s="1">
        <f t="shared" si="12"/>
        <v>2.43386168323986</v>
      </c>
      <c r="T31" s="1">
        <f>IFERROR(ABS((T26-T27)/(3*T29)),"--")</f>
        <v>1.58648873366867</v>
      </c>
    </row>
    <row r="32" spans="1:20">
      <c r="A32" s="5"/>
      <c r="B32" s="12" t="s">
        <v>6</v>
      </c>
      <c r="C32" s="1"/>
      <c r="D32" s="1">
        <f t="shared" ref="D32:T32" si="13">IFERROR(MIN(D30,D31),"--")</f>
        <v>1.13922759191166</v>
      </c>
      <c r="E32" s="1">
        <f t="shared" si="13"/>
        <v>0.964757401526582</v>
      </c>
      <c r="F32" s="1">
        <f t="shared" si="13"/>
        <v>3.52528919521002</v>
      </c>
      <c r="G32" s="1">
        <f t="shared" si="13"/>
        <v>2.4</v>
      </c>
      <c r="H32" s="1">
        <f t="shared" si="13"/>
        <v>2.96524997868952</v>
      </c>
      <c r="I32" s="1">
        <f t="shared" si="13"/>
        <v>2.43144015648505</v>
      </c>
      <c r="J32" s="1">
        <f t="shared" si="13"/>
        <v>1.65344623165463</v>
      </c>
      <c r="K32" s="1">
        <f t="shared" si="13"/>
        <v>0.702450817015473</v>
      </c>
      <c r="L32" s="1">
        <f t="shared" si="13"/>
        <v>0.977927339910665</v>
      </c>
      <c r="M32" s="1">
        <f t="shared" si="13"/>
        <v>1.45318989939054</v>
      </c>
      <c r="N32" s="1">
        <f t="shared" si="13"/>
        <v>1.4968309097803</v>
      </c>
      <c r="O32" s="1">
        <f t="shared" si="13"/>
        <v>1.66347174301625</v>
      </c>
      <c r="P32" s="1">
        <f t="shared" si="13"/>
        <v>1.27027460614439</v>
      </c>
      <c r="Q32" s="1">
        <f t="shared" si="13"/>
        <v>1.37649166059054</v>
      </c>
      <c r="R32" s="1">
        <f t="shared" si="13"/>
        <v>1.3617658132984</v>
      </c>
      <c r="S32" s="1">
        <f t="shared" si="13"/>
        <v>1.95046190319682</v>
      </c>
      <c r="T32" s="1">
        <f t="shared" si="13"/>
        <v>1.16763275696771</v>
      </c>
    </row>
    <row r="33" spans="1:20">
      <c r="A33" s="5"/>
      <c r="B33" s="13" t="s">
        <v>52</v>
      </c>
      <c r="C33" s="7"/>
      <c r="D33" s="7">
        <f>AVERAGE(D32:T32)</f>
        <v>1.67646517675227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</sheetData>
  <mergeCells count="41">
    <mergeCell ref="B3:C3"/>
    <mergeCell ref="D3:J3"/>
    <mergeCell ref="K3:T3"/>
    <mergeCell ref="B4:C4"/>
    <mergeCell ref="B5:C5"/>
    <mergeCell ref="D5:E5"/>
    <mergeCell ref="F5:H5"/>
    <mergeCell ref="I5:J5"/>
    <mergeCell ref="K5:Q5"/>
    <mergeCell ref="R5:T5"/>
    <mergeCell ref="B6:C6"/>
    <mergeCell ref="D6:T6"/>
    <mergeCell ref="B7:C7"/>
    <mergeCell ref="D7:T7"/>
    <mergeCell ref="B8:C8"/>
    <mergeCell ref="D8:T8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D33:T33"/>
    <mergeCell ref="A3:A17"/>
    <mergeCell ref="A18:A24"/>
    <mergeCell ref="A25:A33"/>
    <mergeCell ref="B9:B17"/>
    <mergeCell ref="U3:U8"/>
    <mergeCell ref="V3:V8"/>
    <mergeCell ref="B1:C2"/>
    <mergeCell ref="D1:T2"/>
  </mergeCells>
  <conditionalFormatting sqref="D32:T32">
    <cfRule type="cellIs" dxfId="0" priority="1" operator="lessThan">
      <formula>0.5</formula>
    </cfRule>
  </conditionalFormatting>
  <conditionalFormatting sqref="D9:T17">
    <cfRule type="cellIs" dxfId="0" priority="2" operator="notBetween">
      <formula>D$21</formula>
      <formula>D$20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workbookViewId="0">
      <selection activeCell="I14" sqref="I14"/>
    </sheetView>
  </sheetViews>
  <sheetFormatPr defaultColWidth="9" defaultRowHeight="13.5"/>
  <cols>
    <col min="19" max="20" width="12.625"/>
  </cols>
  <sheetData>
    <row r="1" spans="1:22">
      <c r="A1" s="1"/>
      <c r="B1" s="1" t="s">
        <v>17</v>
      </c>
      <c r="C1" s="1"/>
      <c r="D1" s="1" t="s">
        <v>18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 t="s">
        <v>19</v>
      </c>
      <c r="B3" s="1" t="s">
        <v>20</v>
      </c>
      <c r="C3" s="1"/>
      <c r="D3" s="1" t="s">
        <v>21</v>
      </c>
      <c r="E3" s="1"/>
      <c r="F3" s="1"/>
      <c r="G3" s="1"/>
      <c r="H3" s="1"/>
      <c r="I3" s="1"/>
      <c r="J3" s="1"/>
      <c r="K3" s="1" t="s">
        <v>22</v>
      </c>
      <c r="L3" s="1"/>
      <c r="M3" s="1"/>
      <c r="N3" s="1"/>
      <c r="O3" s="1"/>
      <c r="P3" s="1"/>
      <c r="Q3" s="1"/>
      <c r="R3" s="1"/>
      <c r="S3" s="1"/>
      <c r="T3" s="1"/>
      <c r="U3" s="8" t="s">
        <v>23</v>
      </c>
      <c r="V3" s="8" t="s">
        <v>24</v>
      </c>
    </row>
    <row r="4" spans="1:22">
      <c r="A4" s="1"/>
      <c r="B4" s="1" t="s">
        <v>25</v>
      </c>
      <c r="C4" s="1"/>
      <c r="D4" s="1">
        <v>-10</v>
      </c>
      <c r="E4" s="1">
        <v>0</v>
      </c>
      <c r="F4" s="1">
        <v>20</v>
      </c>
      <c r="G4" s="1">
        <v>35</v>
      </c>
      <c r="H4" s="1">
        <v>50</v>
      </c>
      <c r="I4" s="1">
        <v>100</v>
      </c>
      <c r="J4" s="1">
        <v>150</v>
      </c>
      <c r="K4" s="1">
        <v>100</v>
      </c>
      <c r="L4" s="1">
        <v>150</v>
      </c>
      <c r="M4" s="1">
        <v>200</v>
      </c>
      <c r="N4" s="1">
        <v>250</v>
      </c>
      <c r="O4" s="1">
        <v>300</v>
      </c>
      <c r="P4" s="1">
        <v>350</v>
      </c>
      <c r="Q4" s="1">
        <v>400</v>
      </c>
      <c r="R4" s="1">
        <v>450</v>
      </c>
      <c r="S4" s="1">
        <v>650</v>
      </c>
      <c r="T4" s="1">
        <v>800</v>
      </c>
      <c r="U4" s="8"/>
      <c r="V4" s="8"/>
    </row>
    <row r="5" spans="1:22">
      <c r="A5" s="1"/>
      <c r="B5" s="1" t="s">
        <v>26</v>
      </c>
      <c r="C5" s="1"/>
      <c r="D5" s="1" t="s">
        <v>27</v>
      </c>
      <c r="E5" s="1"/>
      <c r="F5" s="1" t="s">
        <v>28</v>
      </c>
      <c r="G5" s="1"/>
      <c r="H5" s="1"/>
      <c r="I5" s="1" t="s">
        <v>29</v>
      </c>
      <c r="J5" s="1"/>
      <c r="K5" s="1" t="s">
        <v>29</v>
      </c>
      <c r="L5" s="1"/>
      <c r="M5" s="1"/>
      <c r="N5" s="1"/>
      <c r="O5" s="1"/>
      <c r="P5" s="1"/>
      <c r="Q5" s="1"/>
      <c r="R5" s="1" t="s">
        <v>30</v>
      </c>
      <c r="S5" s="1"/>
      <c r="T5" s="1"/>
      <c r="U5" s="8"/>
      <c r="V5" s="8"/>
    </row>
    <row r="6" spans="1:22">
      <c r="A6" s="1"/>
      <c r="B6" s="1" t="s">
        <v>31</v>
      </c>
      <c r="C6" s="1"/>
      <c r="D6" s="1" t="s">
        <v>32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/>
      <c r="V6" s="8"/>
    </row>
    <row r="7" spans="1:22">
      <c r="A7" s="1"/>
      <c r="B7" s="1" t="s">
        <v>33</v>
      </c>
      <c r="C7" s="1"/>
      <c r="D7" s="1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8"/>
      <c r="V7" s="8"/>
    </row>
    <row r="8" spans="1:22">
      <c r="A8" s="1"/>
      <c r="B8" s="1" t="s">
        <v>34</v>
      </c>
      <c r="C8" s="1"/>
      <c r="D8" s="1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8"/>
      <c r="V8" s="8"/>
    </row>
    <row r="9" spans="1:22">
      <c r="A9" s="1"/>
      <c r="B9" s="1" t="s">
        <v>35</v>
      </c>
      <c r="C9" s="1" t="s">
        <v>7</v>
      </c>
      <c r="D9" s="1">
        <v>-8.8</v>
      </c>
      <c r="E9" s="1">
        <v>1.1</v>
      </c>
      <c r="F9" s="1">
        <v>20.4</v>
      </c>
      <c r="G9" s="1">
        <v>34.6</v>
      </c>
      <c r="H9" s="1">
        <v>49.9</v>
      </c>
      <c r="I9" s="1">
        <v>100.1</v>
      </c>
      <c r="J9" s="1">
        <v>150.3</v>
      </c>
      <c r="K9" s="1">
        <v>98.7</v>
      </c>
      <c r="L9" s="1">
        <v>150.5</v>
      </c>
      <c r="M9" s="1">
        <v>200.4</v>
      </c>
      <c r="N9" s="1">
        <v>250.1</v>
      </c>
      <c r="O9" s="1">
        <v>300.7</v>
      </c>
      <c r="P9" s="1">
        <v>350.9</v>
      </c>
      <c r="Q9" s="1">
        <v>401.5</v>
      </c>
      <c r="R9" s="1">
        <v>451.9</v>
      </c>
      <c r="S9" s="1">
        <v>651.3</v>
      </c>
      <c r="T9" s="1">
        <v>799.3</v>
      </c>
      <c r="U9" s="9">
        <f>COUNTA(A)</f>
        <v>1</v>
      </c>
      <c r="V9" s="9"/>
    </row>
    <row r="10" spans="1:22">
      <c r="A10" s="1"/>
      <c r="B10" s="1"/>
      <c r="C10" s="1" t="s">
        <v>8</v>
      </c>
      <c r="D10" s="1">
        <v>-8.1</v>
      </c>
      <c r="E10" s="1">
        <v>2.6</v>
      </c>
      <c r="F10" s="1">
        <v>20.6</v>
      </c>
      <c r="G10" s="1">
        <v>35.5</v>
      </c>
      <c r="H10" s="1">
        <v>50.1</v>
      </c>
      <c r="I10" s="1">
        <v>100.1</v>
      </c>
      <c r="J10" s="1">
        <v>150.5</v>
      </c>
      <c r="K10" s="1">
        <v>100.1</v>
      </c>
      <c r="L10" s="1">
        <v>150.1</v>
      </c>
      <c r="M10" s="1">
        <v>199.5</v>
      </c>
      <c r="N10" s="1">
        <v>249</v>
      </c>
      <c r="O10" s="1">
        <v>299.6</v>
      </c>
      <c r="P10" s="1">
        <v>350.6</v>
      </c>
      <c r="Q10" s="1">
        <v>400.7</v>
      </c>
      <c r="R10" s="1">
        <v>451.8</v>
      </c>
      <c r="S10" s="1">
        <v>651.6</v>
      </c>
      <c r="T10" s="1">
        <v>807.8</v>
      </c>
      <c r="U10" s="9"/>
      <c r="V10" s="9"/>
    </row>
    <row r="11" spans="1:22">
      <c r="A11" s="1"/>
      <c r="B11" s="1"/>
      <c r="C11" s="1" t="s">
        <v>9</v>
      </c>
      <c r="D11" s="1">
        <v>-10.5</v>
      </c>
      <c r="E11" s="1">
        <v>-0.3</v>
      </c>
      <c r="F11" s="1">
        <v>19.5</v>
      </c>
      <c r="G11" s="1">
        <v>34.3</v>
      </c>
      <c r="H11" s="1">
        <v>49.3</v>
      </c>
      <c r="I11" s="1">
        <v>100.2</v>
      </c>
      <c r="J11" s="1">
        <v>150.6</v>
      </c>
      <c r="K11" s="1">
        <v>101.1</v>
      </c>
      <c r="L11" s="1">
        <v>152.4</v>
      </c>
      <c r="M11" s="1">
        <v>201.9</v>
      </c>
      <c r="N11" s="1">
        <v>250.7</v>
      </c>
      <c r="O11" s="1">
        <v>302.1</v>
      </c>
      <c r="P11" s="1">
        <v>352.9</v>
      </c>
      <c r="Q11" s="1">
        <v>403.2</v>
      </c>
      <c r="R11" s="1">
        <v>453.1</v>
      </c>
      <c r="S11" s="1">
        <v>655.3</v>
      </c>
      <c r="T11" s="1">
        <v>808.7</v>
      </c>
      <c r="U11" s="9"/>
      <c r="V11" s="9"/>
    </row>
    <row r="12" spans="1:22">
      <c r="A12" s="1"/>
      <c r="B12" s="1"/>
      <c r="C12" s="1" t="s">
        <v>10</v>
      </c>
      <c r="D12" s="1">
        <v>-9.2</v>
      </c>
      <c r="E12" s="1">
        <v>0.8</v>
      </c>
      <c r="F12" s="1">
        <v>20.4</v>
      </c>
      <c r="G12" s="1">
        <v>35.2</v>
      </c>
      <c r="H12" s="1">
        <v>50.4</v>
      </c>
      <c r="I12" s="1">
        <v>100.5</v>
      </c>
      <c r="J12" s="1">
        <v>150.5</v>
      </c>
      <c r="K12" s="1">
        <v>100.3</v>
      </c>
      <c r="L12" s="1">
        <v>151.1</v>
      </c>
      <c r="M12" s="1">
        <v>200.4</v>
      </c>
      <c r="N12" s="1">
        <v>249.7</v>
      </c>
      <c r="O12" s="1">
        <v>300.6</v>
      </c>
      <c r="P12" s="1">
        <v>350.3</v>
      </c>
      <c r="Q12" s="1">
        <v>401.3</v>
      </c>
      <c r="R12" s="1">
        <v>451.7</v>
      </c>
      <c r="S12" s="1">
        <v>651.8</v>
      </c>
      <c r="T12" s="1">
        <v>805.9</v>
      </c>
      <c r="U12" s="9"/>
      <c r="V12" s="9"/>
    </row>
    <row r="13" spans="1:22">
      <c r="A13" s="1"/>
      <c r="B13" s="1"/>
      <c r="C13" s="1" t="s">
        <v>11</v>
      </c>
      <c r="D13" s="1">
        <v>-10.4</v>
      </c>
      <c r="E13" s="1">
        <v>0.9</v>
      </c>
      <c r="F13" s="1">
        <v>20</v>
      </c>
      <c r="G13" s="1">
        <v>34.6</v>
      </c>
      <c r="H13" s="1">
        <v>49.6</v>
      </c>
      <c r="I13" s="1">
        <v>100.1</v>
      </c>
      <c r="J13" s="1">
        <v>151</v>
      </c>
      <c r="K13" s="1">
        <v>99.5</v>
      </c>
      <c r="L13" s="1">
        <v>150.1</v>
      </c>
      <c r="M13" s="1">
        <v>199.4</v>
      </c>
      <c r="N13" s="1">
        <v>248.6</v>
      </c>
      <c r="O13" s="1">
        <v>299.5</v>
      </c>
      <c r="P13" s="1">
        <v>350.1</v>
      </c>
      <c r="Q13" s="1">
        <v>400.8</v>
      </c>
      <c r="R13" s="1">
        <v>450.2</v>
      </c>
      <c r="S13" s="1">
        <v>651</v>
      </c>
      <c r="T13" s="1">
        <v>807.6</v>
      </c>
      <c r="U13" s="9"/>
      <c r="V13" s="9"/>
    </row>
    <row r="14" spans="1:22">
      <c r="A14" s="1"/>
      <c r="B14" s="1"/>
      <c r="C14" s="1" t="s">
        <v>13</v>
      </c>
      <c r="D14" s="1">
        <v>-7.3</v>
      </c>
      <c r="E14" s="1">
        <v>2</v>
      </c>
      <c r="F14" s="1">
        <v>20.6</v>
      </c>
      <c r="G14" s="1">
        <v>35.4</v>
      </c>
      <c r="H14" s="1">
        <v>50.1</v>
      </c>
      <c r="I14" s="1">
        <v>100.1</v>
      </c>
      <c r="J14" s="1">
        <v>150.2</v>
      </c>
      <c r="K14" s="1">
        <v>99.7</v>
      </c>
      <c r="L14" s="1">
        <v>150.6</v>
      </c>
      <c r="M14" s="1">
        <v>199.8</v>
      </c>
      <c r="N14" s="1">
        <v>249.1</v>
      </c>
      <c r="O14" s="1">
        <v>299.4</v>
      </c>
      <c r="P14" s="1">
        <v>349.7</v>
      </c>
      <c r="Q14" s="1">
        <v>399.8</v>
      </c>
      <c r="R14" s="1">
        <v>450.2</v>
      </c>
      <c r="S14" s="1">
        <v>648.1</v>
      </c>
      <c r="T14" s="1">
        <v>798.9</v>
      </c>
      <c r="U14" s="9">
        <f>COUNTA(A)</f>
        <v>1</v>
      </c>
      <c r="V14" s="9"/>
    </row>
    <row r="15" spans="1:22">
      <c r="A15" s="1"/>
      <c r="B15" s="1"/>
      <c r="C15" s="1" t="s">
        <v>14</v>
      </c>
      <c r="D15" s="1">
        <v>-9.2</v>
      </c>
      <c r="E15" s="1">
        <v>1.1</v>
      </c>
      <c r="F15" s="1">
        <v>19.8</v>
      </c>
      <c r="G15" s="1">
        <v>34.2</v>
      </c>
      <c r="H15" s="1">
        <v>49.3</v>
      </c>
      <c r="I15" s="1">
        <v>99.6</v>
      </c>
      <c r="J15" s="1">
        <v>149.7</v>
      </c>
      <c r="K15" s="1">
        <v>98.6</v>
      </c>
      <c r="L15" s="1">
        <v>150.1</v>
      </c>
      <c r="M15" s="1">
        <v>199.9</v>
      </c>
      <c r="N15" s="1">
        <v>249.6</v>
      </c>
      <c r="O15" s="1">
        <v>300.4</v>
      </c>
      <c r="P15" s="1">
        <v>350.2</v>
      </c>
      <c r="Q15" s="1">
        <v>402.3</v>
      </c>
      <c r="R15" s="1">
        <v>452.4</v>
      </c>
      <c r="S15" s="1">
        <v>651.9</v>
      </c>
      <c r="T15" s="1">
        <v>805.1</v>
      </c>
      <c r="U15" s="9"/>
      <c r="V15" s="9"/>
    </row>
    <row r="16" spans="1:22">
      <c r="A16" s="1"/>
      <c r="B16" s="1"/>
      <c r="C16" s="1" t="s">
        <v>15</v>
      </c>
      <c r="D16" s="1">
        <v>-9.1</v>
      </c>
      <c r="E16" s="1">
        <v>0.7</v>
      </c>
      <c r="F16" s="1">
        <v>19.8</v>
      </c>
      <c r="G16" s="1">
        <v>34.7</v>
      </c>
      <c r="H16" s="1">
        <v>50.2</v>
      </c>
      <c r="I16" s="1">
        <v>100.2</v>
      </c>
      <c r="J16" s="1">
        <v>151.1</v>
      </c>
      <c r="K16" s="1">
        <v>100.4</v>
      </c>
      <c r="L16" s="1">
        <v>150.5</v>
      </c>
      <c r="M16" s="1">
        <v>199.3</v>
      </c>
      <c r="N16" s="1">
        <v>248.3</v>
      </c>
      <c r="O16" s="1">
        <v>299</v>
      </c>
      <c r="P16" s="1">
        <v>349.5</v>
      </c>
      <c r="Q16" s="1">
        <v>400</v>
      </c>
      <c r="R16" s="1">
        <v>452.7</v>
      </c>
      <c r="S16" s="1">
        <v>654.9</v>
      </c>
      <c r="T16" s="1">
        <v>808.3</v>
      </c>
      <c r="U16" s="9"/>
      <c r="V16" s="9"/>
    </row>
    <row r="17" spans="1:22">
      <c r="A17" s="1"/>
      <c r="B17" s="1"/>
      <c r="C17" s="1" t="s">
        <v>16</v>
      </c>
      <c r="D17" s="1">
        <v>-10.7</v>
      </c>
      <c r="E17" s="1">
        <v>0.3</v>
      </c>
      <c r="F17" s="1">
        <v>20.1</v>
      </c>
      <c r="G17" s="1">
        <v>34.8</v>
      </c>
      <c r="H17" s="1">
        <v>50.3</v>
      </c>
      <c r="I17" s="1">
        <v>100.3</v>
      </c>
      <c r="J17" s="1">
        <v>150.8</v>
      </c>
      <c r="K17" s="1">
        <v>99.3</v>
      </c>
      <c r="L17" s="1">
        <v>150.3</v>
      </c>
      <c r="M17" s="1">
        <v>200.3</v>
      </c>
      <c r="N17" s="1">
        <v>250</v>
      </c>
      <c r="O17" s="1">
        <v>301</v>
      </c>
      <c r="P17" s="1">
        <v>351.5</v>
      </c>
      <c r="Q17" s="1">
        <v>402.2</v>
      </c>
      <c r="R17" s="1">
        <v>452.9</v>
      </c>
      <c r="S17" s="1">
        <v>648.8</v>
      </c>
      <c r="T17" s="1">
        <v>800.4</v>
      </c>
      <c r="U17" s="9"/>
      <c r="V17" s="9"/>
    </row>
    <row r="18" spans="1:22">
      <c r="A18" s="1" t="s">
        <v>36</v>
      </c>
      <c r="B18" s="1" t="s">
        <v>37</v>
      </c>
      <c r="C18" s="1"/>
      <c r="D18" s="1">
        <v>3</v>
      </c>
      <c r="E18" s="1">
        <v>3</v>
      </c>
      <c r="F18" s="1">
        <v>2</v>
      </c>
      <c r="G18" s="1">
        <v>2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0"/>
      <c r="V18" s="10"/>
    </row>
    <row r="19" spans="1:22">
      <c r="A19" s="1"/>
      <c r="B19" s="1" t="s">
        <v>38</v>
      </c>
      <c r="C19" s="1"/>
      <c r="D19" s="1">
        <f t="shared" ref="D19:T19" si="0">MAX(D18,D4*D18/100)</f>
        <v>3</v>
      </c>
      <c r="E19" s="1">
        <f t="shared" si="0"/>
        <v>3</v>
      </c>
      <c r="F19" s="1">
        <f t="shared" si="0"/>
        <v>2</v>
      </c>
      <c r="G19" s="1">
        <f t="shared" si="0"/>
        <v>2</v>
      </c>
      <c r="H19" s="1">
        <f t="shared" si="0"/>
        <v>2</v>
      </c>
      <c r="I19" s="1">
        <f t="shared" si="0"/>
        <v>2</v>
      </c>
      <c r="J19" s="1">
        <f t="shared" si="0"/>
        <v>3</v>
      </c>
      <c r="K19" s="1">
        <f t="shared" si="0"/>
        <v>2</v>
      </c>
      <c r="L19" s="1">
        <f t="shared" si="0"/>
        <v>3</v>
      </c>
      <c r="M19" s="1">
        <f t="shared" si="0"/>
        <v>4</v>
      </c>
      <c r="N19" s="1">
        <f t="shared" si="0"/>
        <v>5</v>
      </c>
      <c r="O19" s="1">
        <f t="shared" si="0"/>
        <v>6</v>
      </c>
      <c r="P19" s="1">
        <f t="shared" si="0"/>
        <v>7</v>
      </c>
      <c r="Q19" s="1">
        <f>MAX(Q18,Q4*Q18/100)</f>
        <v>8</v>
      </c>
      <c r="R19" s="1">
        <f t="shared" si="0"/>
        <v>9</v>
      </c>
      <c r="S19" s="1">
        <f t="shared" si="0"/>
        <v>13</v>
      </c>
      <c r="T19" s="1">
        <f t="shared" si="0"/>
        <v>16</v>
      </c>
      <c r="U19" s="10"/>
      <c r="V19" s="10"/>
    </row>
    <row r="20" spans="1:22">
      <c r="A20" s="2"/>
      <c r="B20" s="2" t="s">
        <v>39</v>
      </c>
      <c r="C20" s="2"/>
      <c r="D20" s="3">
        <f t="shared" ref="D20:T20" si="1">D4+D19</f>
        <v>-7</v>
      </c>
      <c r="E20" s="3">
        <f t="shared" si="1"/>
        <v>3</v>
      </c>
      <c r="F20" s="3">
        <f t="shared" si="1"/>
        <v>22</v>
      </c>
      <c r="G20" s="3">
        <f t="shared" si="1"/>
        <v>37</v>
      </c>
      <c r="H20" s="3">
        <f t="shared" si="1"/>
        <v>52</v>
      </c>
      <c r="I20" s="3">
        <f t="shared" si="1"/>
        <v>102</v>
      </c>
      <c r="J20" s="3">
        <f t="shared" si="1"/>
        <v>153</v>
      </c>
      <c r="K20" s="3">
        <f t="shared" si="1"/>
        <v>102</v>
      </c>
      <c r="L20" s="3">
        <f t="shared" si="1"/>
        <v>153</v>
      </c>
      <c r="M20" s="3">
        <f t="shared" si="1"/>
        <v>204</v>
      </c>
      <c r="N20" s="3">
        <f t="shared" si="1"/>
        <v>255</v>
      </c>
      <c r="O20" s="3">
        <f t="shared" si="1"/>
        <v>306</v>
      </c>
      <c r="P20" s="3">
        <f t="shared" si="1"/>
        <v>357</v>
      </c>
      <c r="Q20" s="3">
        <f t="shared" si="1"/>
        <v>408</v>
      </c>
      <c r="R20" s="3">
        <f t="shared" si="1"/>
        <v>459</v>
      </c>
      <c r="S20" s="3">
        <f t="shared" si="1"/>
        <v>663</v>
      </c>
      <c r="T20" s="3">
        <f t="shared" si="1"/>
        <v>816</v>
      </c>
      <c r="U20" s="10"/>
      <c r="V20" s="10"/>
    </row>
    <row r="21" spans="1:22">
      <c r="A21" s="2"/>
      <c r="B21" s="2" t="s">
        <v>40</v>
      </c>
      <c r="C21" s="2"/>
      <c r="D21" s="3">
        <f t="shared" ref="D21:T21" si="2">D4-D19</f>
        <v>-13</v>
      </c>
      <c r="E21" s="3">
        <f t="shared" si="2"/>
        <v>-3</v>
      </c>
      <c r="F21" s="3">
        <f t="shared" si="2"/>
        <v>18</v>
      </c>
      <c r="G21" s="3">
        <f t="shared" si="2"/>
        <v>33</v>
      </c>
      <c r="H21" s="3">
        <f t="shared" si="2"/>
        <v>48</v>
      </c>
      <c r="I21" s="3">
        <f t="shared" si="2"/>
        <v>98</v>
      </c>
      <c r="J21" s="3">
        <f t="shared" si="2"/>
        <v>147</v>
      </c>
      <c r="K21" s="3">
        <f t="shared" si="2"/>
        <v>98</v>
      </c>
      <c r="L21" s="3">
        <f t="shared" si="2"/>
        <v>147</v>
      </c>
      <c r="M21" s="3">
        <f t="shared" si="2"/>
        <v>196</v>
      </c>
      <c r="N21" s="3">
        <f t="shared" si="2"/>
        <v>245</v>
      </c>
      <c r="O21" s="3">
        <f t="shared" si="2"/>
        <v>294</v>
      </c>
      <c r="P21" s="3">
        <f t="shared" si="2"/>
        <v>343</v>
      </c>
      <c r="Q21" s="3">
        <f t="shared" si="2"/>
        <v>392</v>
      </c>
      <c r="R21" s="3">
        <f t="shared" si="2"/>
        <v>441</v>
      </c>
      <c r="S21" s="3">
        <f t="shared" si="2"/>
        <v>637</v>
      </c>
      <c r="T21" s="3">
        <f t="shared" si="2"/>
        <v>784</v>
      </c>
      <c r="U21" s="10"/>
      <c r="V21" s="10"/>
    </row>
    <row r="22" spans="1:22">
      <c r="A22" s="1"/>
      <c r="B22" s="1" t="s">
        <v>41</v>
      </c>
      <c r="C22" s="1"/>
      <c r="D22" s="1">
        <f t="shared" ref="D22:T22" si="3">COUNTIFS(D9:D17,"&lt;"&amp;D20,D9:D17,"&gt;"&amp;D21)</f>
        <v>9</v>
      </c>
      <c r="E22" s="1">
        <f t="shared" si="3"/>
        <v>9</v>
      </c>
      <c r="F22" s="1">
        <f t="shared" si="3"/>
        <v>9</v>
      </c>
      <c r="G22" s="1">
        <f t="shared" si="3"/>
        <v>9</v>
      </c>
      <c r="H22" s="1">
        <f t="shared" si="3"/>
        <v>9</v>
      </c>
      <c r="I22" s="1">
        <f t="shared" si="3"/>
        <v>9</v>
      </c>
      <c r="J22" s="1">
        <f t="shared" si="3"/>
        <v>9</v>
      </c>
      <c r="K22" s="1">
        <f t="shared" si="3"/>
        <v>9</v>
      </c>
      <c r="L22" s="1">
        <f t="shared" si="3"/>
        <v>9</v>
      </c>
      <c r="M22" s="1">
        <f t="shared" si="3"/>
        <v>9</v>
      </c>
      <c r="N22" s="1">
        <f t="shared" si="3"/>
        <v>9</v>
      </c>
      <c r="O22" s="1">
        <f t="shared" si="3"/>
        <v>9</v>
      </c>
      <c r="P22" s="1">
        <f t="shared" si="3"/>
        <v>9</v>
      </c>
      <c r="Q22" s="1">
        <f t="shared" si="3"/>
        <v>9</v>
      </c>
      <c r="R22" s="1">
        <f t="shared" si="3"/>
        <v>9</v>
      </c>
      <c r="S22" s="1">
        <f t="shared" si="3"/>
        <v>9</v>
      </c>
      <c r="T22" s="1">
        <f t="shared" si="3"/>
        <v>9</v>
      </c>
      <c r="U22" s="10"/>
      <c r="V22" s="10"/>
    </row>
    <row r="23" spans="1:22">
      <c r="A23" s="1"/>
      <c r="B23" s="1" t="s">
        <v>42</v>
      </c>
      <c r="C23" s="1"/>
      <c r="D23" s="1">
        <f t="shared" ref="D23:T23" si="4">COUNTA(D9:D17)-D22</f>
        <v>0</v>
      </c>
      <c r="E23" s="1">
        <f t="shared" si="4"/>
        <v>0</v>
      </c>
      <c r="F23" s="1">
        <f t="shared" si="4"/>
        <v>0</v>
      </c>
      <c r="G23" s="1">
        <f t="shared" si="4"/>
        <v>0</v>
      </c>
      <c r="H23" s="1">
        <f t="shared" si="4"/>
        <v>0</v>
      </c>
      <c r="I23" s="1">
        <f t="shared" si="4"/>
        <v>0</v>
      </c>
      <c r="J23" s="1">
        <f t="shared" si="4"/>
        <v>0</v>
      </c>
      <c r="K23" s="1">
        <f t="shared" si="4"/>
        <v>0</v>
      </c>
      <c r="L23" s="1">
        <f t="shared" si="4"/>
        <v>0</v>
      </c>
      <c r="M23" s="1">
        <f t="shared" si="4"/>
        <v>0</v>
      </c>
      <c r="N23" s="1">
        <f t="shared" si="4"/>
        <v>0</v>
      </c>
      <c r="O23" s="1">
        <f t="shared" si="4"/>
        <v>0</v>
      </c>
      <c r="P23" s="1">
        <f t="shared" si="4"/>
        <v>0</v>
      </c>
      <c r="Q23" s="1">
        <f t="shared" si="4"/>
        <v>0</v>
      </c>
      <c r="R23" s="1">
        <f t="shared" si="4"/>
        <v>0</v>
      </c>
      <c r="S23" s="1">
        <f t="shared" si="4"/>
        <v>0</v>
      </c>
      <c r="T23" s="1">
        <f t="shared" si="4"/>
        <v>0</v>
      </c>
      <c r="U23" s="10"/>
      <c r="V23" s="10"/>
    </row>
    <row r="24" spans="1:22">
      <c r="A24" s="1"/>
      <c r="B24" s="1" t="s">
        <v>43</v>
      </c>
      <c r="C24" s="1"/>
      <c r="D24" s="4">
        <f t="shared" ref="D24:T24" si="5">IFERROR((D22/(D22+D23)),"--")</f>
        <v>1</v>
      </c>
      <c r="E24" s="4">
        <f t="shared" si="5"/>
        <v>1</v>
      </c>
      <c r="F24" s="4">
        <f t="shared" si="5"/>
        <v>1</v>
      </c>
      <c r="G24" s="4">
        <f t="shared" si="5"/>
        <v>1</v>
      </c>
      <c r="H24" s="4">
        <f t="shared" si="5"/>
        <v>1</v>
      </c>
      <c r="I24" s="4">
        <f t="shared" si="5"/>
        <v>1</v>
      </c>
      <c r="J24" s="4">
        <f t="shared" si="5"/>
        <v>1</v>
      </c>
      <c r="K24" s="4">
        <f t="shared" si="5"/>
        <v>1</v>
      </c>
      <c r="L24" s="4">
        <f t="shared" si="5"/>
        <v>1</v>
      </c>
      <c r="M24" s="4">
        <f t="shared" si="5"/>
        <v>1</v>
      </c>
      <c r="N24" s="4">
        <f t="shared" si="5"/>
        <v>1</v>
      </c>
      <c r="O24" s="4">
        <f t="shared" si="5"/>
        <v>1</v>
      </c>
      <c r="P24" s="4">
        <f t="shared" si="5"/>
        <v>1</v>
      </c>
      <c r="Q24" s="4">
        <f t="shared" si="5"/>
        <v>1</v>
      </c>
      <c r="R24" s="4">
        <f t="shared" si="5"/>
        <v>1</v>
      </c>
      <c r="S24" s="4">
        <f t="shared" si="5"/>
        <v>1</v>
      </c>
      <c r="T24" s="4">
        <f t="shared" si="5"/>
        <v>1</v>
      </c>
      <c r="U24" s="10"/>
      <c r="V24" s="10"/>
    </row>
    <row r="25" spans="1:22">
      <c r="A25" s="5" t="s">
        <v>44</v>
      </c>
      <c r="B25" s="1" t="s">
        <v>45</v>
      </c>
      <c r="C25" s="1"/>
      <c r="D25" s="1">
        <f t="shared" ref="D25:T25" si="6">D20</f>
        <v>-7</v>
      </c>
      <c r="E25" s="1">
        <f t="shared" si="6"/>
        <v>3</v>
      </c>
      <c r="F25" s="1">
        <f t="shared" si="6"/>
        <v>22</v>
      </c>
      <c r="G25" s="1">
        <f t="shared" si="6"/>
        <v>37</v>
      </c>
      <c r="H25" s="1">
        <f t="shared" si="6"/>
        <v>52</v>
      </c>
      <c r="I25" s="1">
        <f t="shared" si="6"/>
        <v>102</v>
      </c>
      <c r="J25" s="1">
        <f t="shared" si="6"/>
        <v>153</v>
      </c>
      <c r="K25" s="1">
        <f t="shared" si="6"/>
        <v>102</v>
      </c>
      <c r="L25" s="1">
        <f t="shared" si="6"/>
        <v>153</v>
      </c>
      <c r="M25" s="1">
        <f t="shared" si="6"/>
        <v>204</v>
      </c>
      <c r="N25" s="1">
        <f t="shared" si="6"/>
        <v>255</v>
      </c>
      <c r="O25" s="1">
        <f t="shared" si="6"/>
        <v>306</v>
      </c>
      <c r="P25" s="1">
        <f t="shared" si="6"/>
        <v>357</v>
      </c>
      <c r="Q25" s="1">
        <f t="shared" si="6"/>
        <v>408</v>
      </c>
      <c r="R25" s="1">
        <f t="shared" si="6"/>
        <v>459</v>
      </c>
      <c r="S25" s="1">
        <f t="shared" si="6"/>
        <v>663</v>
      </c>
      <c r="T25" s="1">
        <f t="shared" si="6"/>
        <v>816</v>
      </c>
      <c r="U25" s="10"/>
      <c r="V25" s="10"/>
    </row>
    <row r="26" spans="1:22">
      <c r="A26" s="5"/>
      <c r="B26" s="1" t="s">
        <v>46</v>
      </c>
      <c r="C26" s="1"/>
      <c r="D26" s="1">
        <f t="shared" ref="D26:T26" si="7">D21</f>
        <v>-13</v>
      </c>
      <c r="E26" s="1">
        <f t="shared" si="7"/>
        <v>-3</v>
      </c>
      <c r="F26" s="1">
        <f t="shared" si="7"/>
        <v>18</v>
      </c>
      <c r="G26" s="1">
        <f t="shared" si="7"/>
        <v>33</v>
      </c>
      <c r="H26" s="1">
        <f t="shared" si="7"/>
        <v>48</v>
      </c>
      <c r="I26" s="1">
        <f t="shared" si="7"/>
        <v>98</v>
      </c>
      <c r="J26" s="1">
        <f t="shared" si="7"/>
        <v>147</v>
      </c>
      <c r="K26" s="1">
        <f t="shared" si="7"/>
        <v>98</v>
      </c>
      <c r="L26" s="1">
        <f t="shared" si="7"/>
        <v>147</v>
      </c>
      <c r="M26" s="1">
        <f t="shared" si="7"/>
        <v>196</v>
      </c>
      <c r="N26" s="1">
        <f t="shared" si="7"/>
        <v>245</v>
      </c>
      <c r="O26" s="1">
        <f t="shared" si="7"/>
        <v>294</v>
      </c>
      <c r="P26" s="1">
        <f t="shared" si="7"/>
        <v>343</v>
      </c>
      <c r="Q26" s="1">
        <f t="shared" si="7"/>
        <v>392</v>
      </c>
      <c r="R26" s="1">
        <f t="shared" si="7"/>
        <v>441</v>
      </c>
      <c r="S26" s="1">
        <f t="shared" si="7"/>
        <v>637</v>
      </c>
      <c r="T26" s="1">
        <f t="shared" si="7"/>
        <v>784</v>
      </c>
      <c r="U26" s="10"/>
      <c r="V26" s="10"/>
    </row>
    <row r="27" spans="1:22">
      <c r="A27" s="5"/>
      <c r="B27" s="1" t="s">
        <v>47</v>
      </c>
      <c r="C27" s="1"/>
      <c r="D27" s="6">
        <f t="shared" ref="D27:T27" si="8">IFERROR(AVERAGE(D9:D17),"--")</f>
        <v>-9.25555555555555</v>
      </c>
      <c r="E27" s="6">
        <f t="shared" si="8"/>
        <v>1.02222222222222</v>
      </c>
      <c r="F27" s="6">
        <f t="shared" si="8"/>
        <v>20.1333333333333</v>
      </c>
      <c r="G27" s="6">
        <f t="shared" si="8"/>
        <v>34.8111111111111</v>
      </c>
      <c r="H27" s="6">
        <f t="shared" si="8"/>
        <v>49.9111111111111</v>
      </c>
      <c r="I27" s="6">
        <f t="shared" si="8"/>
        <v>100.133333333333</v>
      </c>
      <c r="J27" s="6">
        <f t="shared" si="8"/>
        <v>150.522222222222</v>
      </c>
      <c r="K27" s="6">
        <f t="shared" si="8"/>
        <v>99.7444444444444</v>
      </c>
      <c r="L27" s="6">
        <f t="shared" si="8"/>
        <v>150.633333333333</v>
      </c>
      <c r="M27" s="6">
        <f t="shared" si="8"/>
        <v>200.1</v>
      </c>
      <c r="N27" s="6">
        <f t="shared" si="8"/>
        <v>249.455555555555</v>
      </c>
      <c r="O27" s="6">
        <f t="shared" si="8"/>
        <v>300.255555555556</v>
      </c>
      <c r="P27" s="6">
        <f t="shared" si="8"/>
        <v>350.633333333333</v>
      </c>
      <c r="Q27" s="6">
        <f t="shared" si="8"/>
        <v>401.311111111111</v>
      </c>
      <c r="R27" s="6">
        <f t="shared" si="8"/>
        <v>451.877777777778</v>
      </c>
      <c r="S27" s="6">
        <f t="shared" si="8"/>
        <v>651.633333333333</v>
      </c>
      <c r="T27" s="6">
        <f t="shared" si="8"/>
        <v>804.666666666667</v>
      </c>
      <c r="U27" s="10"/>
      <c r="V27" s="10"/>
    </row>
    <row r="28" spans="1:22">
      <c r="A28" s="5"/>
      <c r="B28" s="1" t="s">
        <v>48</v>
      </c>
      <c r="C28" s="1"/>
      <c r="D28" s="6">
        <f t="shared" ref="D28:T28" si="9">IFERROR(D27-D4,"--")</f>
        <v>0.744444444444447</v>
      </c>
      <c r="E28" s="6">
        <f t="shared" si="9"/>
        <v>1.02222222222222</v>
      </c>
      <c r="F28" s="6">
        <f t="shared" si="9"/>
        <v>0.133333333333336</v>
      </c>
      <c r="G28" s="6">
        <f t="shared" si="9"/>
        <v>-0.18888888888889</v>
      </c>
      <c r="H28" s="6">
        <f t="shared" si="9"/>
        <v>-0.0888888888888815</v>
      </c>
      <c r="I28" s="6">
        <f t="shared" si="9"/>
        <v>0.13333333333334</v>
      </c>
      <c r="J28" s="6">
        <f t="shared" si="9"/>
        <v>0.522222222222211</v>
      </c>
      <c r="K28" s="6">
        <f t="shared" si="9"/>
        <v>-0.25555555555556</v>
      </c>
      <c r="L28" s="6">
        <f t="shared" si="9"/>
        <v>0.633333333333326</v>
      </c>
      <c r="M28" s="6">
        <f t="shared" si="9"/>
        <v>0.0999999999999943</v>
      </c>
      <c r="N28" s="6">
        <f t="shared" si="9"/>
        <v>-0.544444444444508</v>
      </c>
      <c r="O28" s="6">
        <f t="shared" si="9"/>
        <v>0.255555555555588</v>
      </c>
      <c r="P28" s="6">
        <f t="shared" si="9"/>
        <v>0.633333333333326</v>
      </c>
      <c r="Q28" s="6">
        <f t="shared" si="9"/>
        <v>1.31111111111113</v>
      </c>
      <c r="R28" s="6">
        <f t="shared" si="9"/>
        <v>1.87777777777779</v>
      </c>
      <c r="S28" s="6">
        <f t="shared" si="9"/>
        <v>1.63333333333333</v>
      </c>
      <c r="T28" s="6">
        <f t="shared" si="9"/>
        <v>4.66666666666663</v>
      </c>
      <c r="U28" s="10"/>
      <c r="V28" s="10"/>
    </row>
    <row r="29" spans="1:22">
      <c r="A29" s="5"/>
      <c r="B29" s="1" t="s">
        <v>49</v>
      </c>
      <c r="C29" s="1"/>
      <c r="D29" s="6">
        <f t="shared" ref="D29:T29" si="10">IFERROR(STDEV(D9:D17),"--")</f>
        <v>1.13700386005404</v>
      </c>
      <c r="E29" s="6">
        <f t="shared" si="10"/>
        <v>0.858454683978394</v>
      </c>
      <c r="F29" s="6">
        <f t="shared" si="10"/>
        <v>0.390512483795333</v>
      </c>
      <c r="G29" s="6">
        <f t="shared" si="10"/>
        <v>0.462180820795401</v>
      </c>
      <c r="H29" s="6">
        <f t="shared" si="10"/>
        <v>0.416666666666667</v>
      </c>
      <c r="I29" s="6">
        <f t="shared" si="10"/>
        <v>0.239791576165638</v>
      </c>
      <c r="J29" s="6">
        <f t="shared" si="10"/>
        <v>0.429469957557507</v>
      </c>
      <c r="K29" s="6">
        <f t="shared" si="10"/>
        <v>0.818704939387675</v>
      </c>
      <c r="L29" s="6">
        <f t="shared" si="10"/>
        <v>0.736545993132814</v>
      </c>
      <c r="M29" s="6">
        <f t="shared" si="10"/>
        <v>0.796868872525461</v>
      </c>
      <c r="N29" s="6">
        <f t="shared" si="10"/>
        <v>0.769920630830069</v>
      </c>
      <c r="O29" s="6">
        <f t="shared" si="10"/>
        <v>0.974821921059323</v>
      </c>
      <c r="P29" s="6">
        <f t="shared" si="10"/>
        <v>1.0428326807307</v>
      </c>
      <c r="Q29" s="6">
        <f t="shared" si="10"/>
        <v>1.11853078237083</v>
      </c>
      <c r="R29" s="6">
        <f t="shared" si="10"/>
        <v>1.06978710239208</v>
      </c>
      <c r="S29" s="6">
        <f t="shared" si="10"/>
        <v>2.37802439011881</v>
      </c>
      <c r="T29" s="6">
        <f t="shared" si="10"/>
        <v>4.02895768158467</v>
      </c>
      <c r="U29" s="10"/>
      <c r="V29" s="10"/>
    </row>
    <row r="30" spans="1:22">
      <c r="A30" s="5"/>
      <c r="B30" s="1" t="s">
        <v>50</v>
      </c>
      <c r="C30" s="1"/>
      <c r="D30" s="1">
        <f t="shared" ref="D30:T30" si="11">IFERROR(ABS((D27-D25)/(3*D29)),"--")</f>
        <v>0.661257079475631</v>
      </c>
      <c r="E30" s="1">
        <f t="shared" si="11"/>
        <v>0.767960466129685</v>
      </c>
      <c r="F30" s="1">
        <f t="shared" si="11"/>
        <v>1.59334783916492</v>
      </c>
      <c r="G30" s="1">
        <f t="shared" si="11"/>
        <v>1.57866704285556</v>
      </c>
      <c r="H30" s="1">
        <f t="shared" si="11"/>
        <v>1.6711111111111</v>
      </c>
      <c r="I30" s="1">
        <f t="shared" si="11"/>
        <v>2.59484604159912</v>
      </c>
      <c r="J30" s="1">
        <f t="shared" si="11"/>
        <v>1.92312852480569</v>
      </c>
      <c r="K30" s="1">
        <f t="shared" si="11"/>
        <v>0.918342879932027</v>
      </c>
      <c r="L30" s="1">
        <f t="shared" si="11"/>
        <v>1.0710653458767</v>
      </c>
      <c r="M30" s="1">
        <f t="shared" si="11"/>
        <v>1.63138509335921</v>
      </c>
      <c r="N30" s="1">
        <f t="shared" si="11"/>
        <v>2.40043982995447</v>
      </c>
      <c r="O30" s="1">
        <f t="shared" si="11"/>
        <v>1.96427139506055</v>
      </c>
      <c r="P30" s="1">
        <f t="shared" si="11"/>
        <v>2.03505534630465</v>
      </c>
      <c r="Q30" s="1">
        <f t="shared" si="11"/>
        <v>1.99335562755252</v>
      </c>
      <c r="R30" s="1">
        <f t="shared" si="11"/>
        <v>2.21920237098162</v>
      </c>
      <c r="S30" s="1">
        <f t="shared" si="11"/>
        <v>1.5932926948237</v>
      </c>
      <c r="T30" s="1">
        <f t="shared" si="11"/>
        <v>0.937656355896972</v>
      </c>
      <c r="U30" s="10"/>
      <c r="V30" s="10"/>
    </row>
    <row r="31" spans="1:22">
      <c r="A31" s="5"/>
      <c r="B31" s="1" t="s">
        <v>51</v>
      </c>
      <c r="C31" s="1"/>
      <c r="D31" s="1">
        <f t="shared" ref="D31:S31" si="12">IFERROR(ABS((D26-D27)/(3*D29)),"--")</f>
        <v>1.09775190041029</v>
      </c>
      <c r="E31" s="1">
        <f t="shared" si="12"/>
        <v>1.56180724010644</v>
      </c>
      <c r="F31" s="1">
        <f t="shared" si="12"/>
        <v>1.82096895904563</v>
      </c>
      <c r="G31" s="1">
        <f t="shared" si="12"/>
        <v>1.30620674104292</v>
      </c>
      <c r="H31" s="1">
        <f t="shared" si="12"/>
        <v>1.52888888888889</v>
      </c>
      <c r="I31" s="1">
        <f t="shared" si="12"/>
        <v>2.96553833325616</v>
      </c>
      <c r="J31" s="1">
        <f t="shared" si="12"/>
        <v>2.73377462943228</v>
      </c>
      <c r="K31" s="1">
        <f t="shared" si="12"/>
        <v>0.710245478568116</v>
      </c>
      <c r="L31" s="1">
        <f t="shared" si="12"/>
        <v>1.64431158733182</v>
      </c>
      <c r="M31" s="1">
        <f t="shared" si="12"/>
        <v>1.71504586737763</v>
      </c>
      <c r="N31" s="1">
        <f t="shared" si="12"/>
        <v>1.92901076515374</v>
      </c>
      <c r="O31" s="1">
        <f t="shared" si="12"/>
        <v>2.13904215748376</v>
      </c>
      <c r="P31" s="1">
        <f t="shared" si="12"/>
        <v>2.43993546755897</v>
      </c>
      <c r="Q31" s="1">
        <f t="shared" si="12"/>
        <v>2.77480401310469</v>
      </c>
      <c r="R31" s="1">
        <f t="shared" si="12"/>
        <v>3.38939020466617</v>
      </c>
      <c r="S31" s="1">
        <f t="shared" si="12"/>
        <v>2.05118912911321</v>
      </c>
      <c r="T31" s="1">
        <f>IFERROR(ABS((T26-T27)/(3*T29)),"--")</f>
        <v>1.70984394310623</v>
      </c>
      <c r="U31" s="10"/>
      <c r="V31" s="10"/>
    </row>
    <row r="32" spans="1:22">
      <c r="A32" s="5"/>
      <c r="B32" s="1" t="s">
        <v>6</v>
      </c>
      <c r="C32" s="1"/>
      <c r="D32" s="1">
        <f t="shared" ref="D32:T32" si="13">IFERROR(MIN(D30,D31),"--")</f>
        <v>0.661257079475631</v>
      </c>
      <c r="E32" s="1">
        <f t="shared" si="13"/>
        <v>0.767960466129685</v>
      </c>
      <c r="F32" s="1">
        <f t="shared" si="13"/>
        <v>1.59334783916492</v>
      </c>
      <c r="G32" s="1">
        <f t="shared" si="13"/>
        <v>1.30620674104292</v>
      </c>
      <c r="H32" s="1">
        <f t="shared" si="13"/>
        <v>1.52888888888889</v>
      </c>
      <c r="I32" s="1">
        <f t="shared" si="13"/>
        <v>2.59484604159912</v>
      </c>
      <c r="J32" s="1">
        <f t="shared" si="13"/>
        <v>1.92312852480569</v>
      </c>
      <c r="K32" s="1">
        <f t="shared" si="13"/>
        <v>0.710245478568116</v>
      </c>
      <c r="L32" s="1">
        <f t="shared" si="13"/>
        <v>1.0710653458767</v>
      </c>
      <c r="M32" s="1">
        <f t="shared" si="13"/>
        <v>1.63138509335921</v>
      </c>
      <c r="N32" s="1">
        <f t="shared" si="13"/>
        <v>1.92901076515374</v>
      </c>
      <c r="O32" s="1">
        <f t="shared" si="13"/>
        <v>1.96427139506055</v>
      </c>
      <c r="P32" s="1">
        <f t="shared" si="13"/>
        <v>2.03505534630465</v>
      </c>
      <c r="Q32" s="1">
        <f t="shared" si="13"/>
        <v>1.99335562755252</v>
      </c>
      <c r="R32" s="1">
        <f t="shared" si="13"/>
        <v>2.21920237098162</v>
      </c>
      <c r="S32" s="1">
        <f t="shared" si="13"/>
        <v>1.5932926948237</v>
      </c>
      <c r="T32" s="1">
        <f t="shared" si="13"/>
        <v>0.937656355896972</v>
      </c>
      <c r="U32" s="10"/>
      <c r="V32" s="10"/>
    </row>
    <row r="33" spans="1:20">
      <c r="A33" s="5"/>
      <c r="B33" s="7" t="s">
        <v>52</v>
      </c>
      <c r="C33" s="7"/>
      <c r="D33" s="7">
        <f>AVERAGE(D32:T32)</f>
        <v>1.55648094439322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</sheetData>
  <mergeCells count="41">
    <mergeCell ref="B3:C3"/>
    <mergeCell ref="D3:J3"/>
    <mergeCell ref="K3:T3"/>
    <mergeCell ref="B4:C4"/>
    <mergeCell ref="B5:C5"/>
    <mergeCell ref="D5:E5"/>
    <mergeCell ref="F5:H5"/>
    <mergeCell ref="I5:J5"/>
    <mergeCell ref="K5:Q5"/>
    <mergeCell ref="R5:T5"/>
    <mergeCell ref="B6:C6"/>
    <mergeCell ref="D6:T6"/>
    <mergeCell ref="B7:C7"/>
    <mergeCell ref="D7:T7"/>
    <mergeCell ref="B8:C8"/>
    <mergeCell ref="D8:T8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D33:T33"/>
    <mergeCell ref="A3:A17"/>
    <mergeCell ref="A18:A24"/>
    <mergeCell ref="A25:A33"/>
    <mergeCell ref="B9:B17"/>
    <mergeCell ref="U3:U8"/>
    <mergeCell ref="V3:V8"/>
    <mergeCell ref="B1:C2"/>
    <mergeCell ref="D1:V2"/>
  </mergeCells>
  <conditionalFormatting sqref="D32:T32">
    <cfRule type="cellIs" dxfId="0" priority="2" operator="lessThan">
      <formula>0.5</formula>
    </cfRule>
  </conditionalFormatting>
  <conditionalFormatting sqref="D9:T17">
    <cfRule type="cellIs" dxfId="0" priority="1" operator="notBetween">
      <formula>D$21</formula>
      <formula>D$20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总表</vt:lpstr>
      <vt:lpstr>60min3m</vt:lpstr>
      <vt:lpstr>30min3m</vt:lpstr>
      <vt:lpstr>10min3m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田志远2</dc:creator>
  <cp:lastModifiedBy>口口口口</cp:lastModifiedBy>
  <dcterms:created xsi:type="dcterms:W3CDTF">2022-12-14T08:14:00Z</dcterms:created>
  <dcterms:modified xsi:type="dcterms:W3CDTF">2023-01-03T08:43:53Z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51866339E3F84057B521BF0C2F5770BC</vt:lpwstr>
  </property>
  <property fmtid="{D5CDD505-2E9C-101B-9397-08002B2CF9AE}" pid="3" name="KSOProductBuildVer">
    <vt:lpwstr>2052-11.1.0.12980</vt:lpwstr>
  </property>
</Properties>
</file>