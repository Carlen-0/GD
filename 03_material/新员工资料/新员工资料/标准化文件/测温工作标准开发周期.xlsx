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05" windowHeight="11355" activeTab="1"/>
  </bookViews>
  <sheets>
    <sheet name="模组测温" sheetId="1" r:id="rId1"/>
    <sheet name="TEC工业测温 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<sst xmlns="http://schemas.openxmlformats.org/spreadsheetml/2006/main" count="201" uniqueCount="113">
  <si>
    <t>测温模块标准活动及工期估算</t>
  </si>
  <si>
    <r>
      <rPr>
        <sz val="12"/>
        <color theme="1"/>
        <rFont val="宋体"/>
        <charset val="134"/>
      </rPr>
      <t>序号</t>
    </r>
  </si>
  <si>
    <t>内容</t>
  </si>
  <si>
    <r>
      <rPr>
        <sz val="12"/>
        <color theme="1"/>
        <rFont val="宋体"/>
        <charset val="134"/>
      </rPr>
      <t>事项</t>
    </r>
  </si>
  <si>
    <r>
      <rPr>
        <sz val="12"/>
        <color theme="1"/>
        <rFont val="宋体"/>
        <charset val="134"/>
      </rPr>
      <t>具体工作内容</t>
    </r>
  </si>
  <si>
    <t>输出</t>
  </si>
  <si>
    <t>所需外部资源（人力）</t>
  </si>
  <si>
    <t>所需资源（校温）</t>
  </si>
  <si>
    <t>单镜头工作量</t>
  </si>
  <si>
    <t>多镜头（N个）并行工作量</t>
  </si>
  <si>
    <t>备注</t>
  </si>
  <si>
    <t>方案确认</t>
  </si>
  <si>
    <t>测温技术方案规划</t>
  </si>
  <si>
    <t>根据产品规格确定系统方案，并明确各项技术指标与功能。</t>
  </si>
  <si>
    <t>系统方案</t>
  </si>
  <si>
    <t>产品经理</t>
  </si>
  <si>
    <t>测温需求文档</t>
  </si>
  <si>
    <t>对各个领域提出测温实现的要求，包括：
测温库移植、相关参数的显示与修改、调试功能的开放等</t>
  </si>
  <si>
    <t>需求文档</t>
  </si>
  <si>
    <t>立项</t>
  </si>
  <si>
    <t>软件确认</t>
  </si>
  <si>
    <r>
      <rPr>
        <sz val="12"/>
        <color theme="1"/>
        <rFont val="宋体"/>
        <charset val="134"/>
      </rPr>
      <t>确认软件当前状态是否满足测温工作开展需求，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需确认项为：</t>
    </r>
    <r>
      <rPr>
        <sz val="12"/>
        <color theme="1"/>
        <rFont val="Times New Roman"/>
        <charset val="134"/>
      </rPr>
      <t xml:space="preserve">
</t>
    </r>
    <r>
      <rPr>
        <sz val="12"/>
        <color rgb="FFFF0000"/>
        <rFont val="Times New Roman"/>
        <charset val="134"/>
      </rPr>
      <t>1.</t>
    </r>
    <r>
      <rPr>
        <sz val="12"/>
        <color rgb="FFFF0000"/>
        <rFont val="宋体"/>
        <charset val="134"/>
      </rPr>
      <t>需求文档中的要求是否实现
2.各测温参数的调整是否符合预期规律
3.设备端、PC端、移动端的测温代码是否一致
4.手动调光中Y16反算的代码是否一致</t>
    </r>
  </si>
  <si>
    <t>软件开发工程师</t>
  </si>
  <si>
    <t>探测器参数设置</t>
  </si>
  <si>
    <t>完成响应率的调节</t>
  </si>
  <si>
    <t>硬件工程师</t>
  </si>
  <si>
    <t>2+N</t>
  </si>
  <si>
    <t>采集方案确认</t>
  </si>
  <si>
    <t>确认当前模组的采集方案，更新上位机采集软件</t>
  </si>
  <si>
    <t>采集方案</t>
  </si>
  <si>
    <t>需要设备能上采集工装，否则无此工序</t>
  </si>
  <si>
    <t>基础测温</t>
  </si>
  <si>
    <r>
      <rPr>
        <sz val="12"/>
        <color theme="1"/>
        <rFont val="宋体"/>
        <charset val="134"/>
      </rPr>
      <t>曲线采集</t>
    </r>
  </si>
  <si>
    <t>工装批量采集模组曲线，完成数据包</t>
  </si>
  <si>
    <t>过程数据</t>
  </si>
  <si>
    <t>项目经理</t>
  </si>
  <si>
    <t>模组采集工装</t>
  </si>
  <si>
    <t>与步骤5对应，若无法上采集工装，则根据步骤1中确定的采集环温数来评估工时，一般一个环温一天</t>
  </si>
  <si>
    <t>面一致性</t>
  </si>
  <si>
    <t>测试设备面一致性</t>
  </si>
  <si>
    <t>大温漂+对应黑体</t>
  </si>
  <si>
    <t>1+0.5N</t>
  </si>
  <si>
    <r>
      <rPr>
        <sz val="12"/>
        <color theme="1"/>
        <rFont val="宋体"/>
        <charset val="134"/>
      </rPr>
      <t>温漂修正</t>
    </r>
  </si>
  <si>
    <r>
      <rPr>
        <sz val="12"/>
        <color theme="1"/>
        <rFont val="宋体"/>
        <charset val="134"/>
      </rPr>
      <t>录制测温日志，计算镜筒温漂系数和快门温漂系数，验证系数的准确性</t>
    </r>
  </si>
  <si>
    <t>4+4N</t>
  </si>
  <si>
    <r>
      <rPr>
        <sz val="12"/>
        <color theme="1"/>
        <rFont val="宋体"/>
        <charset val="134"/>
      </rPr>
      <t>距离修正</t>
    </r>
  </si>
  <si>
    <r>
      <rPr>
        <sz val="12"/>
        <color theme="1"/>
        <rFont val="宋体"/>
        <charset val="134"/>
      </rPr>
      <t>采集不同距离下的测温结果，计算距离修正系数，验证系数的准确性</t>
    </r>
  </si>
  <si>
    <t>3+N</t>
  </si>
  <si>
    <r>
      <rPr>
        <sz val="12"/>
        <color theme="1"/>
        <rFont val="宋体"/>
        <charset val="134"/>
      </rPr>
      <t>校温</t>
    </r>
  </si>
  <si>
    <r>
      <rPr>
        <sz val="12"/>
        <color theme="1"/>
        <rFont val="宋体"/>
        <charset val="134"/>
      </rPr>
      <t>常温（</t>
    </r>
    <r>
      <rPr>
        <sz val="12"/>
        <color theme="1"/>
        <rFont val="Times New Roman"/>
        <charset val="134"/>
      </rPr>
      <t>23</t>
    </r>
    <r>
      <rPr>
        <sz val="12"/>
        <color theme="1"/>
        <rFont val="宋体"/>
        <charset val="134"/>
      </rPr>
      <t>℃）校温</t>
    </r>
  </si>
  <si>
    <r>
      <rPr>
        <sz val="12"/>
        <color theme="1"/>
        <rFont val="宋体"/>
        <charset val="134"/>
      </rPr>
      <t>温度复核</t>
    </r>
  </si>
  <si>
    <t>常温、高温、低温下多距离温度复核及优化（曲线调整）</t>
  </si>
  <si>
    <t>5+2.5N</t>
  </si>
  <si>
    <t>测温库参数固化</t>
  </si>
  <si>
    <t>与相关工程师确认核入对应的参数，更新程序</t>
  </si>
  <si>
    <t>嵌入式工程师</t>
  </si>
  <si>
    <t>无</t>
  </si>
  <si>
    <t>自动切测温范围</t>
  </si>
  <si>
    <t>摸底自动切档参数</t>
  </si>
  <si>
    <t>发射率测试</t>
  </si>
  <si>
    <t>选取部分温度点（需要包含当前测温范围的两端）以及部分发射率（0.98、0.95、0.9、0.8）进行测温复核（各测温范围标准距离与环温）</t>
  </si>
  <si>
    <t>3+0.5N</t>
  </si>
  <si>
    <t>相关文档整理（根据项目进度要求完成下发）</t>
  </si>
  <si>
    <t>测温报告撰写</t>
  </si>
  <si>
    <r>
      <rPr>
        <sz val="12"/>
        <color theme="1"/>
        <rFont val="宋体"/>
        <charset val="134"/>
      </rPr>
      <t xml:space="preserve">撰写测温报告，具体应该包括以下内容：
</t>
    </r>
    <r>
      <rPr>
        <sz val="12"/>
        <color rgb="FFFF0000"/>
        <rFont val="宋体"/>
        <charset val="134"/>
      </rPr>
      <t>1.各距离环温下的测温结果
2.面一致性的测试方法与结果
3.发射率测试，选取部分黑体点和发射率的测试结果
4.自动切档的测试方法与结果（若有）</t>
    </r>
  </si>
  <si>
    <t>测温报告</t>
  </si>
  <si>
    <t>3+0.2N</t>
  </si>
  <si>
    <t>测温方案撰写</t>
  </si>
  <si>
    <t>确认项目测温方案并完成方案的撰写</t>
  </si>
  <si>
    <t>初版测温方案</t>
  </si>
  <si>
    <t>测温方案评审</t>
  </si>
  <si>
    <t>组织相关人员参与测温方案的评审</t>
  </si>
  <si>
    <t>按照测温方案评审规则要求V1.1中规定的人员进行组织</t>
  </si>
  <si>
    <t>测温方案下发</t>
  </si>
  <si>
    <t>根据评审意见修改后完成下发</t>
  </si>
  <si>
    <t>最终测温方案</t>
  </si>
  <si>
    <t>测温扩展</t>
  </si>
  <si>
    <t>镜头免校准</t>
  </si>
  <si>
    <t>1.免校准方案验证
2.代码移植
3.更新测温方案</t>
  </si>
  <si>
    <t>免校准报告</t>
  </si>
  <si>
    <t>其他</t>
  </si>
  <si>
    <t>视具体项目而定</t>
  </si>
  <si>
    <t>总计</t>
  </si>
  <si>
    <t>不包含扩展功能</t>
  </si>
  <si>
    <t>54+11.2N</t>
  </si>
  <si>
    <t>多镜头（N）串行时间为22+32N</t>
  </si>
  <si>
    <t>前置条件</t>
  </si>
  <si>
    <t>焦温档1曲线采集与复核</t>
  </si>
  <si>
    <t>曲线采集，验证共用曲线方案是否可行</t>
  </si>
  <si>
    <t>焦温档1面一致性验证</t>
  </si>
  <si>
    <t>焦温档1温漂参数采集与复核</t>
  </si>
  <si>
    <t>焦温档1距离参数采集与复核</t>
  </si>
  <si>
    <t>焦温档1温度复核</t>
  </si>
  <si>
    <t>常温环境下多距离、多时间点复核</t>
  </si>
  <si>
    <t>1+0.8N</t>
  </si>
  <si>
    <t>焦温档1高环温修正参数采集与复核</t>
  </si>
  <si>
    <t>采集不同环温下的测温结果，计算环温修正系数，验证系数的准确性</t>
  </si>
  <si>
    <t>高温步入室+对应黑体</t>
  </si>
  <si>
    <t>根据分档策略与所使用的黑体确定具体环温</t>
  </si>
  <si>
    <t>焦温档1低环温修正参数复核</t>
  </si>
  <si>
    <t>验证系数的准确性</t>
  </si>
  <si>
    <t>低温步入室+对应黑体</t>
  </si>
  <si>
    <t>确认环温修正系数是否对常温结果产生影响</t>
  </si>
  <si>
    <t>焦温档2测温工作</t>
  </si>
  <si>
    <t>在焦温档2下重复上述9~16序号动作</t>
  </si>
  <si>
    <t>11+5.6N</t>
  </si>
  <si>
    <t>人体测温无此项</t>
  </si>
  <si>
    <t>焦温档3测温工作（若有）</t>
  </si>
  <si>
    <t>在焦温档3下重复上述9~16序号动作</t>
  </si>
  <si>
    <t>测温曲线提测</t>
  </si>
  <si>
    <t>将确定的共用曲线上传智感文件系统</t>
  </si>
  <si>
    <t>65.5+18N</t>
  </si>
  <si>
    <t>多镜头（N）串行时间为22+43.5N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</si>
</sst>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24" applyNumberFormat="0" applyAlignment="0" applyProtection="0">
      <alignment vertical="center"/>
    </xf>
    <xf numFmtId="0" fontId="16" fillId="4" borderId="25" applyNumberFormat="0" applyAlignment="0" applyProtection="0">
      <alignment vertical="center"/>
    </xf>
    <xf numFmtId="0" fontId="17" fillId="4" borderId="24" applyNumberFormat="0" applyAlignment="0" applyProtection="0">
      <alignment vertical="center"/>
    </xf>
    <xf numFmtId="0" fontId="18" fillId="5" borderId="26" applyNumberFormat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3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8"/>
  <sheetViews>
    <sheetView zoomScale="85" zoomScaleNormal="85" workbookViewId="0">
      <selection activeCell="K23" sqref="K23"/>
    </sheetView>
  </sheetViews>
  <sheetFormatPr defaultColWidth="9" defaultRowHeight="13.5"/>
  <cols>
    <col min="1" max="1" width="3.525" customWidth="1"/>
    <col min="2" max="2" width="6.875" customWidth="1"/>
    <col min="3" max="3" width="13.525" customWidth="1"/>
    <col min="4" max="4" width="18.25" customWidth="1"/>
    <col min="5" max="5" width="58.625" customWidth="1"/>
    <col min="6" max="6" width="13.9666666666667" customWidth="1"/>
    <col min="7" max="7" width="16.25" customWidth="1"/>
    <col min="8" max="8" width="16.625" customWidth="1"/>
    <col min="9" max="9" width="13.75" customWidth="1"/>
    <col min="10" max="10" width="14.125" customWidth="1"/>
    <col min="11" max="11" width="20.625" customWidth="1"/>
  </cols>
  <sheetData>
    <row r="1" ht="14.25"/>
    <row r="2" ht="23.25" spans="2:11">
      <c r="B2" s="1" t="s">
        <v>0</v>
      </c>
      <c r="C2" s="2"/>
      <c r="D2" s="2"/>
      <c r="E2" s="2"/>
      <c r="F2" s="2"/>
      <c r="G2" s="2"/>
      <c r="H2" s="2"/>
      <c r="I2" s="2"/>
      <c r="J2" s="2"/>
      <c r="K2" s="16"/>
    </row>
    <row r="3" ht="28.5" spans="2:11">
      <c r="B3" s="3" t="s">
        <v>1</v>
      </c>
      <c r="C3" s="4" t="s">
        <v>2</v>
      </c>
      <c r="D3" s="5" t="s">
        <v>3</v>
      </c>
      <c r="E3" s="5" t="s">
        <v>4</v>
      </c>
      <c r="F3" s="4" t="s">
        <v>5</v>
      </c>
      <c r="G3" s="6" t="s">
        <v>6</v>
      </c>
      <c r="H3" s="6" t="s">
        <v>7</v>
      </c>
      <c r="I3" s="4" t="s">
        <v>8</v>
      </c>
      <c r="J3" s="6" t="s">
        <v>9</v>
      </c>
      <c r="K3" s="17" t="s">
        <v>10</v>
      </c>
    </row>
    <row r="4" ht="39.75" customHeight="1" spans="2:11">
      <c r="B4" s="7">
        <v>1</v>
      </c>
      <c r="C4" s="25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/>
      <c r="I4" s="8">
        <v>7</v>
      </c>
      <c r="J4" s="8">
        <v>7</v>
      </c>
      <c r="K4" s="19"/>
    </row>
    <row r="5" ht="52.5" customHeight="1" spans="2:11">
      <c r="B5" s="7">
        <v>2</v>
      </c>
      <c r="C5" s="26"/>
      <c r="D5" s="8" t="s">
        <v>16</v>
      </c>
      <c r="E5" s="10" t="s">
        <v>17</v>
      </c>
      <c r="F5" s="10" t="s">
        <v>18</v>
      </c>
      <c r="G5" s="8"/>
      <c r="H5" s="8"/>
      <c r="I5" s="8">
        <v>5</v>
      </c>
      <c r="J5" s="8">
        <v>5</v>
      </c>
      <c r="K5" s="19"/>
    </row>
    <row r="6" ht="52.5" customHeight="1" spans="2:11">
      <c r="B6" s="7">
        <v>3</v>
      </c>
      <c r="C6" s="26"/>
      <c r="D6" s="27" t="s">
        <v>19</v>
      </c>
      <c r="E6" s="28"/>
      <c r="F6" s="28"/>
      <c r="G6" s="28"/>
      <c r="H6" s="28"/>
      <c r="I6" s="28"/>
      <c r="J6" s="28"/>
      <c r="K6" s="32"/>
    </row>
    <row r="7" ht="75" customHeight="1" spans="2:11">
      <c r="B7" s="7">
        <v>4</v>
      </c>
      <c r="C7" s="26"/>
      <c r="D7" s="10" t="s">
        <v>20</v>
      </c>
      <c r="E7" s="10" t="s">
        <v>21</v>
      </c>
      <c r="F7" s="11"/>
      <c r="G7" s="10" t="s">
        <v>22</v>
      </c>
      <c r="H7" s="10"/>
      <c r="I7" s="11">
        <v>10</v>
      </c>
      <c r="J7" s="11">
        <v>10</v>
      </c>
      <c r="K7" s="19"/>
    </row>
    <row r="8" ht="15.75" spans="2:11">
      <c r="B8" s="7">
        <v>5</v>
      </c>
      <c r="C8" s="26"/>
      <c r="D8" s="10" t="s">
        <v>23</v>
      </c>
      <c r="E8" s="10" t="s">
        <v>24</v>
      </c>
      <c r="F8" s="10"/>
      <c r="G8" s="10" t="s">
        <v>25</v>
      </c>
      <c r="H8" s="10"/>
      <c r="I8" s="11">
        <v>2</v>
      </c>
      <c r="J8" s="11" t="s">
        <v>26</v>
      </c>
      <c r="K8" s="19"/>
    </row>
    <row r="9" ht="28.5" spans="2:11">
      <c r="B9" s="7">
        <v>6</v>
      </c>
      <c r="C9" s="4"/>
      <c r="D9" s="10" t="s">
        <v>27</v>
      </c>
      <c r="E9" s="10" t="s">
        <v>28</v>
      </c>
      <c r="F9" s="10" t="s">
        <v>29</v>
      </c>
      <c r="G9" s="10" t="s">
        <v>22</v>
      </c>
      <c r="H9" s="10"/>
      <c r="I9" s="11">
        <v>3</v>
      </c>
      <c r="J9" s="11">
        <v>3</v>
      </c>
      <c r="K9" s="19" t="s">
        <v>30</v>
      </c>
    </row>
    <row r="10" ht="71.25" spans="2:11">
      <c r="B10" s="7">
        <v>7</v>
      </c>
      <c r="C10" s="29" t="s">
        <v>31</v>
      </c>
      <c r="D10" s="11" t="s">
        <v>32</v>
      </c>
      <c r="E10" s="10" t="s">
        <v>33</v>
      </c>
      <c r="F10" s="29" t="s">
        <v>34</v>
      </c>
      <c r="G10" s="10" t="s">
        <v>35</v>
      </c>
      <c r="H10" s="10" t="s">
        <v>36</v>
      </c>
      <c r="I10" s="11">
        <v>2</v>
      </c>
      <c r="J10" s="11" t="s">
        <v>26</v>
      </c>
      <c r="K10" s="19" t="s">
        <v>37</v>
      </c>
    </row>
    <row r="11" ht="28.5" customHeight="1" spans="2:11">
      <c r="B11" s="7">
        <v>8</v>
      </c>
      <c r="C11" s="30"/>
      <c r="D11" s="10" t="s">
        <v>38</v>
      </c>
      <c r="E11" s="10" t="s">
        <v>39</v>
      </c>
      <c r="F11" s="30"/>
      <c r="G11" s="10"/>
      <c r="H11" s="11" t="s">
        <v>40</v>
      </c>
      <c r="I11" s="11">
        <v>1</v>
      </c>
      <c r="J11" s="11" t="s">
        <v>41</v>
      </c>
      <c r="K11" s="19"/>
    </row>
    <row r="12" ht="28.5" spans="2:11">
      <c r="B12" s="7">
        <v>9</v>
      </c>
      <c r="C12" s="30"/>
      <c r="D12" s="11" t="s">
        <v>42</v>
      </c>
      <c r="E12" s="11" t="s">
        <v>43</v>
      </c>
      <c r="F12" s="30"/>
      <c r="G12" s="10"/>
      <c r="H12" s="10" t="s">
        <v>40</v>
      </c>
      <c r="I12" s="11">
        <v>4</v>
      </c>
      <c r="J12" s="11" t="s">
        <v>44</v>
      </c>
      <c r="K12" s="19"/>
    </row>
    <row r="13" ht="28.5" spans="2:11">
      <c r="B13" s="7">
        <v>10</v>
      </c>
      <c r="C13" s="30"/>
      <c r="D13" s="11" t="s">
        <v>45</v>
      </c>
      <c r="E13" s="11" t="s">
        <v>46</v>
      </c>
      <c r="F13" s="30"/>
      <c r="G13" s="10"/>
      <c r="H13" s="11" t="s">
        <v>40</v>
      </c>
      <c r="I13" s="11">
        <v>3</v>
      </c>
      <c r="J13" s="11" t="s">
        <v>47</v>
      </c>
      <c r="K13" s="19"/>
    </row>
    <row r="14" ht="15.75" spans="2:11">
      <c r="B14" s="7">
        <v>11</v>
      </c>
      <c r="C14" s="30"/>
      <c r="D14" s="11" t="s">
        <v>48</v>
      </c>
      <c r="E14" s="10" t="s">
        <v>49</v>
      </c>
      <c r="F14" s="30"/>
      <c r="G14" s="10"/>
      <c r="H14" s="11" t="s">
        <v>40</v>
      </c>
      <c r="I14" s="11">
        <v>1</v>
      </c>
      <c r="J14" s="11" t="s">
        <v>41</v>
      </c>
      <c r="K14" s="19"/>
    </row>
    <row r="15" ht="15.75" spans="2:11">
      <c r="B15" s="7">
        <v>12</v>
      </c>
      <c r="C15" s="30"/>
      <c r="D15" s="11" t="s">
        <v>50</v>
      </c>
      <c r="E15" s="10" t="s">
        <v>51</v>
      </c>
      <c r="F15" s="30"/>
      <c r="G15" s="10"/>
      <c r="H15" s="10"/>
      <c r="I15" s="11">
        <v>5</v>
      </c>
      <c r="J15" s="11" t="s">
        <v>52</v>
      </c>
      <c r="K15" s="19"/>
    </row>
    <row r="16" ht="15.75" spans="2:11">
      <c r="B16" s="7">
        <v>13</v>
      </c>
      <c r="C16" s="30"/>
      <c r="D16" s="10" t="s">
        <v>53</v>
      </c>
      <c r="E16" s="10" t="s">
        <v>54</v>
      </c>
      <c r="F16" s="30"/>
      <c r="G16" s="10" t="s">
        <v>55</v>
      </c>
      <c r="H16" s="10" t="s">
        <v>56</v>
      </c>
      <c r="I16" s="11">
        <v>1</v>
      </c>
      <c r="J16" s="11">
        <v>1</v>
      </c>
      <c r="K16" s="19"/>
    </row>
    <row r="17" ht="15.75" spans="2:11">
      <c r="B17" s="7">
        <v>14</v>
      </c>
      <c r="C17" s="30"/>
      <c r="D17" s="10" t="s">
        <v>57</v>
      </c>
      <c r="E17" s="10" t="s">
        <v>58</v>
      </c>
      <c r="F17" s="30"/>
      <c r="G17" s="10"/>
      <c r="H17" s="11" t="s">
        <v>40</v>
      </c>
      <c r="I17" s="11">
        <v>1</v>
      </c>
      <c r="J17" s="11" t="s">
        <v>41</v>
      </c>
      <c r="K17" s="19"/>
    </row>
    <row r="18" ht="42.75" spans="2:11">
      <c r="B18" s="7">
        <v>15</v>
      </c>
      <c r="C18" s="6"/>
      <c r="D18" s="10" t="s">
        <v>59</v>
      </c>
      <c r="E18" s="10" t="s">
        <v>60</v>
      </c>
      <c r="F18" s="6"/>
      <c r="G18" s="10"/>
      <c r="H18" s="11" t="s">
        <v>40</v>
      </c>
      <c r="I18" s="11">
        <v>3</v>
      </c>
      <c r="J18" s="11" t="s">
        <v>61</v>
      </c>
      <c r="K18" s="19"/>
    </row>
    <row r="19" ht="71.25" spans="2:11">
      <c r="B19" s="7">
        <v>16</v>
      </c>
      <c r="C19" s="29" t="s">
        <v>62</v>
      </c>
      <c r="D19" s="10" t="s">
        <v>63</v>
      </c>
      <c r="E19" s="10" t="s">
        <v>64</v>
      </c>
      <c r="F19" s="10" t="s">
        <v>65</v>
      </c>
      <c r="G19" s="10"/>
      <c r="H19" s="11"/>
      <c r="I19" s="11">
        <v>3</v>
      </c>
      <c r="J19" s="11" t="s">
        <v>66</v>
      </c>
      <c r="K19" s="19"/>
    </row>
    <row r="20" ht="15.75" spans="2:11">
      <c r="B20" s="7">
        <v>17</v>
      </c>
      <c r="C20" s="30"/>
      <c r="D20" s="10" t="s">
        <v>67</v>
      </c>
      <c r="E20" s="10" t="s">
        <v>68</v>
      </c>
      <c r="F20" s="10" t="s">
        <v>69</v>
      </c>
      <c r="G20" s="10"/>
      <c r="H20" s="10"/>
      <c r="I20" s="11">
        <v>1</v>
      </c>
      <c r="J20" s="11">
        <v>1</v>
      </c>
      <c r="K20" s="19"/>
    </row>
    <row r="21" ht="57" spans="2:11">
      <c r="B21" s="7">
        <v>18</v>
      </c>
      <c r="C21" s="30"/>
      <c r="D21" s="10" t="s">
        <v>70</v>
      </c>
      <c r="E21" s="10" t="s">
        <v>71</v>
      </c>
      <c r="F21" s="11"/>
      <c r="G21" s="10" t="s">
        <v>72</v>
      </c>
      <c r="H21" s="10"/>
      <c r="I21" s="11">
        <v>1</v>
      </c>
      <c r="J21" s="11">
        <v>1</v>
      </c>
      <c r="K21" s="19"/>
    </row>
    <row r="22" ht="33" customHeight="1" spans="2:11">
      <c r="B22" s="7">
        <v>19</v>
      </c>
      <c r="C22" s="6"/>
      <c r="D22" s="10" t="s">
        <v>73</v>
      </c>
      <c r="E22" s="10" t="s">
        <v>74</v>
      </c>
      <c r="F22" s="10" t="s">
        <v>75</v>
      </c>
      <c r="G22" s="10"/>
      <c r="H22" s="10"/>
      <c r="I22" s="11">
        <v>1</v>
      </c>
      <c r="J22" s="11">
        <v>1</v>
      </c>
      <c r="K22" s="19"/>
    </row>
    <row r="23" ht="42.75" spans="2:11">
      <c r="B23" s="7">
        <v>20</v>
      </c>
      <c r="C23" s="29" t="s">
        <v>76</v>
      </c>
      <c r="D23" s="29" t="s">
        <v>77</v>
      </c>
      <c r="E23" s="29" t="s">
        <v>78</v>
      </c>
      <c r="F23" s="29" t="s">
        <v>79</v>
      </c>
      <c r="G23" s="29"/>
      <c r="H23" s="29"/>
      <c r="I23" s="33">
        <v>50</v>
      </c>
      <c r="J23" s="34"/>
      <c r="K23" s="35"/>
    </row>
    <row r="24" ht="33" customHeight="1" spans="2:11">
      <c r="B24" s="7">
        <v>21</v>
      </c>
      <c r="C24" s="30"/>
      <c r="D24" s="29" t="s">
        <v>80</v>
      </c>
      <c r="E24" s="29" t="s">
        <v>81</v>
      </c>
      <c r="F24" s="29"/>
      <c r="G24" s="29"/>
      <c r="H24" s="29"/>
      <c r="I24" s="36"/>
      <c r="J24" s="36"/>
      <c r="K24" s="35"/>
    </row>
    <row r="25" ht="29.25" spans="2:11">
      <c r="B25" s="12" t="s">
        <v>82</v>
      </c>
      <c r="C25" s="13" t="s">
        <v>83</v>
      </c>
      <c r="D25" s="13"/>
      <c r="E25" s="13"/>
      <c r="F25" s="13"/>
      <c r="G25" s="13"/>
      <c r="H25" s="13"/>
      <c r="I25" s="23">
        <f>SUM(I4:I22)</f>
        <v>54</v>
      </c>
      <c r="J25" s="23" t="s">
        <v>84</v>
      </c>
      <c r="K25" s="24" t="s">
        <v>85</v>
      </c>
    </row>
    <row r="26" spans="2:11"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2:11"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2:11">
      <c r="B28" s="31"/>
      <c r="C28" s="31"/>
      <c r="D28" s="31"/>
      <c r="E28" s="31"/>
      <c r="F28" s="31"/>
      <c r="G28" s="31"/>
      <c r="H28" s="31"/>
      <c r="I28" s="31"/>
      <c r="J28" s="31"/>
      <c r="K28" s="31"/>
    </row>
  </sheetData>
  <mergeCells count="8">
    <mergeCell ref="B2:K2"/>
    <mergeCell ref="D6:K6"/>
    <mergeCell ref="I23:J23"/>
    <mergeCell ref="C4:C9"/>
    <mergeCell ref="C10:C18"/>
    <mergeCell ref="C19:C22"/>
    <mergeCell ref="C23:C24"/>
    <mergeCell ref="F10:F1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0"/>
  <sheetViews>
    <sheetView tabSelected="1" zoomScale="85" zoomScaleNormal="85" topLeftCell="A21" workbookViewId="0">
      <selection activeCell="H9" sqref="H9"/>
    </sheetView>
  </sheetViews>
  <sheetFormatPr defaultColWidth="9" defaultRowHeight="13.5"/>
  <cols>
    <col min="1" max="1" width="2.875" customWidth="1"/>
    <col min="2" max="2" width="6.875" customWidth="1"/>
    <col min="3" max="3" width="13.525" customWidth="1"/>
    <col min="4" max="4" width="18.25" customWidth="1"/>
    <col min="5" max="5" width="58.625" customWidth="1"/>
    <col min="6" max="6" width="13.9666666666667" customWidth="1"/>
    <col min="7" max="7" width="16.25" customWidth="1"/>
    <col min="8" max="8" width="16.625" customWidth="1"/>
    <col min="9" max="9" width="13.75" customWidth="1"/>
    <col min="10" max="10" width="14.125" customWidth="1"/>
    <col min="11" max="11" width="20.625" customWidth="1"/>
  </cols>
  <sheetData>
    <row r="1" ht="14.25"/>
    <row r="2" ht="23.25" spans="2:11">
      <c r="B2" s="1" t="s">
        <v>0</v>
      </c>
      <c r="C2" s="2"/>
      <c r="D2" s="2"/>
      <c r="E2" s="2"/>
      <c r="F2" s="2"/>
      <c r="G2" s="2"/>
      <c r="H2" s="2"/>
      <c r="I2" s="2"/>
      <c r="J2" s="2"/>
      <c r="K2" s="16"/>
    </row>
    <row r="3" ht="28.5" spans="2:11">
      <c r="B3" s="3" t="s">
        <v>1</v>
      </c>
      <c r="C3" s="4" t="s">
        <v>2</v>
      </c>
      <c r="D3" s="5" t="s">
        <v>3</v>
      </c>
      <c r="E3" s="5" t="s">
        <v>4</v>
      </c>
      <c r="F3" s="4" t="s">
        <v>5</v>
      </c>
      <c r="G3" s="6" t="s">
        <v>6</v>
      </c>
      <c r="H3" s="4" t="s">
        <v>7</v>
      </c>
      <c r="I3" s="4" t="s">
        <v>8</v>
      </c>
      <c r="J3" s="6" t="s">
        <v>9</v>
      </c>
      <c r="K3" s="17" t="s">
        <v>10</v>
      </c>
    </row>
    <row r="4" ht="15.75" spans="2:11">
      <c r="B4" s="7">
        <v>1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/>
      <c r="I4" s="8">
        <v>7</v>
      </c>
      <c r="J4" s="8">
        <v>7</v>
      </c>
      <c r="K4" s="18"/>
    </row>
    <row r="5" ht="28.5" spans="2:11">
      <c r="B5" s="7">
        <v>2</v>
      </c>
      <c r="C5" s="9"/>
      <c r="D5" s="8" t="s">
        <v>16</v>
      </c>
      <c r="E5" s="10" t="s">
        <v>17</v>
      </c>
      <c r="F5" s="10" t="s">
        <v>18</v>
      </c>
      <c r="G5" s="8"/>
      <c r="H5" s="8"/>
      <c r="I5" s="8">
        <v>5</v>
      </c>
      <c r="J5" s="8">
        <v>5</v>
      </c>
      <c r="K5" s="18"/>
    </row>
    <row r="6" ht="34" customHeight="1" spans="2:11">
      <c r="B6" s="7">
        <v>3</v>
      </c>
      <c r="C6" s="9"/>
      <c r="D6" s="10" t="s">
        <v>19</v>
      </c>
      <c r="E6" s="8"/>
      <c r="F6" s="8"/>
      <c r="G6" s="8"/>
      <c r="H6" s="8"/>
      <c r="I6" s="8"/>
      <c r="J6" s="8"/>
      <c r="K6" s="18"/>
    </row>
    <row r="7" ht="74.25" spans="2:11">
      <c r="B7" s="7">
        <v>4</v>
      </c>
      <c r="C7" s="9"/>
      <c r="D7" s="10" t="s">
        <v>20</v>
      </c>
      <c r="E7" s="10" t="s">
        <v>21</v>
      </c>
      <c r="F7" s="11"/>
      <c r="G7" s="10" t="s">
        <v>22</v>
      </c>
      <c r="H7" s="10"/>
      <c r="I7" s="11">
        <v>10</v>
      </c>
      <c r="J7" s="11">
        <v>10</v>
      </c>
      <c r="K7" s="19" t="s">
        <v>86</v>
      </c>
    </row>
    <row r="8" ht="15.75" spans="2:11">
      <c r="B8" s="7">
        <v>5</v>
      </c>
      <c r="C8" s="9"/>
      <c r="D8" s="10" t="s">
        <v>23</v>
      </c>
      <c r="E8" s="10" t="s">
        <v>24</v>
      </c>
      <c r="F8" s="10"/>
      <c r="G8" s="10" t="s">
        <v>25</v>
      </c>
      <c r="H8" s="10"/>
      <c r="I8" s="11">
        <v>2</v>
      </c>
      <c r="J8" s="11" t="s">
        <v>26</v>
      </c>
      <c r="K8" s="19"/>
    </row>
    <row r="9" ht="28.5" spans="2:11">
      <c r="B9" s="7">
        <v>6</v>
      </c>
      <c r="C9" s="10" t="s">
        <v>31</v>
      </c>
      <c r="D9" s="10" t="s">
        <v>87</v>
      </c>
      <c r="E9" s="10" t="s">
        <v>88</v>
      </c>
      <c r="F9" s="10" t="s">
        <v>34</v>
      </c>
      <c r="G9" s="10"/>
      <c r="H9" s="10" t="s">
        <v>40</v>
      </c>
      <c r="I9" s="11">
        <v>1</v>
      </c>
      <c r="J9" s="20" t="s">
        <v>41</v>
      </c>
      <c r="K9" s="21"/>
    </row>
    <row r="10" ht="28.5" spans="2:11">
      <c r="B10" s="7">
        <v>7</v>
      </c>
      <c r="C10" s="11"/>
      <c r="D10" s="10" t="s">
        <v>89</v>
      </c>
      <c r="E10" s="10" t="s">
        <v>39</v>
      </c>
      <c r="F10" s="10"/>
      <c r="G10" s="10"/>
      <c r="H10" s="11" t="s">
        <v>40</v>
      </c>
      <c r="I10" s="11">
        <v>1</v>
      </c>
      <c r="J10" s="20" t="s">
        <v>41</v>
      </c>
      <c r="K10" s="21"/>
    </row>
    <row r="11" ht="28.5" spans="2:11">
      <c r="B11" s="7">
        <v>8</v>
      </c>
      <c r="C11" s="11"/>
      <c r="D11" s="10" t="s">
        <v>90</v>
      </c>
      <c r="E11" s="11" t="s">
        <v>43</v>
      </c>
      <c r="F11" s="10"/>
      <c r="G11" s="10"/>
      <c r="H11" s="10" t="s">
        <v>40</v>
      </c>
      <c r="I11" s="11">
        <v>2</v>
      </c>
      <c r="J11" s="20" t="s">
        <v>41</v>
      </c>
      <c r="K11" s="22"/>
    </row>
    <row r="12" ht="28.5" spans="2:11">
      <c r="B12" s="7">
        <v>9</v>
      </c>
      <c r="C12" s="11"/>
      <c r="D12" s="10" t="s">
        <v>91</v>
      </c>
      <c r="E12" s="11" t="s">
        <v>46</v>
      </c>
      <c r="F12" s="10"/>
      <c r="G12" s="10"/>
      <c r="H12" s="10" t="s">
        <v>40</v>
      </c>
      <c r="I12" s="11">
        <v>1</v>
      </c>
      <c r="J12" s="20" t="s">
        <v>41</v>
      </c>
      <c r="K12" s="21"/>
    </row>
    <row r="13" ht="15.75" spans="2:11">
      <c r="B13" s="7">
        <v>10</v>
      </c>
      <c r="C13" s="11"/>
      <c r="D13" s="10" t="s">
        <v>92</v>
      </c>
      <c r="E13" s="10" t="s">
        <v>93</v>
      </c>
      <c r="F13" s="10"/>
      <c r="G13" s="10"/>
      <c r="H13" s="11" t="s">
        <v>40</v>
      </c>
      <c r="I13" s="11">
        <v>1</v>
      </c>
      <c r="J13" s="20" t="s">
        <v>94</v>
      </c>
      <c r="K13" s="21"/>
    </row>
    <row r="14" ht="28.5" spans="2:11">
      <c r="B14" s="7">
        <v>11</v>
      </c>
      <c r="C14" s="11"/>
      <c r="D14" s="10" t="s">
        <v>95</v>
      </c>
      <c r="E14" s="10" t="s">
        <v>96</v>
      </c>
      <c r="F14" s="10"/>
      <c r="G14" s="10"/>
      <c r="H14" s="10" t="s">
        <v>97</v>
      </c>
      <c r="I14" s="11">
        <v>2</v>
      </c>
      <c r="J14" s="11" t="s">
        <v>26</v>
      </c>
      <c r="K14" s="19" t="s">
        <v>98</v>
      </c>
    </row>
    <row r="15" ht="28.5" spans="2:11">
      <c r="B15" s="7">
        <v>12</v>
      </c>
      <c r="C15" s="11"/>
      <c r="D15" s="10" t="s">
        <v>99</v>
      </c>
      <c r="E15" s="10" t="s">
        <v>100</v>
      </c>
      <c r="F15" s="10"/>
      <c r="G15" s="10"/>
      <c r="H15" s="10" t="s">
        <v>101</v>
      </c>
      <c r="I15" s="11">
        <v>2</v>
      </c>
      <c r="J15" s="11" t="s">
        <v>26</v>
      </c>
      <c r="K15" s="19" t="s">
        <v>98</v>
      </c>
    </row>
    <row r="16" ht="15.75" spans="2:11">
      <c r="B16" s="7">
        <v>13</v>
      </c>
      <c r="C16" s="11"/>
      <c r="D16" s="10" t="s">
        <v>92</v>
      </c>
      <c r="E16" s="10" t="s">
        <v>102</v>
      </c>
      <c r="F16" s="10"/>
      <c r="G16" s="10"/>
      <c r="H16" s="10" t="s">
        <v>40</v>
      </c>
      <c r="I16" s="11">
        <v>1</v>
      </c>
      <c r="J16" s="20" t="s">
        <v>94</v>
      </c>
      <c r="K16" s="21"/>
    </row>
    <row r="17" ht="28.5" spans="2:11">
      <c r="B17" s="7">
        <v>14</v>
      </c>
      <c r="C17" s="11"/>
      <c r="D17" s="10" t="s">
        <v>103</v>
      </c>
      <c r="E17" s="10" t="s">
        <v>104</v>
      </c>
      <c r="F17" s="10"/>
      <c r="G17" s="10"/>
      <c r="H17" s="10" t="s">
        <v>101</v>
      </c>
      <c r="I17" s="11">
        <f>SUM(I9:I16)</f>
        <v>11</v>
      </c>
      <c r="J17" s="11" t="s">
        <v>105</v>
      </c>
      <c r="K17" s="19" t="s">
        <v>106</v>
      </c>
    </row>
    <row r="18" ht="28.5" spans="2:11">
      <c r="B18" s="7">
        <v>15</v>
      </c>
      <c r="C18" s="11"/>
      <c r="D18" s="10" t="s">
        <v>107</v>
      </c>
      <c r="E18" s="10" t="s">
        <v>108</v>
      </c>
      <c r="F18" s="10"/>
      <c r="G18" s="10"/>
      <c r="H18" s="10" t="s">
        <v>97</v>
      </c>
      <c r="I18" s="11">
        <f>I17</f>
        <v>11</v>
      </c>
      <c r="J18" s="11" t="s">
        <v>105</v>
      </c>
      <c r="K18" s="19"/>
    </row>
    <row r="19" ht="15.75" spans="2:11">
      <c r="B19" s="7">
        <v>16</v>
      </c>
      <c r="C19" s="11"/>
      <c r="D19" s="10" t="s">
        <v>57</v>
      </c>
      <c r="E19" s="10" t="s">
        <v>58</v>
      </c>
      <c r="F19" s="10"/>
      <c r="G19" s="10"/>
      <c r="H19" s="11" t="s">
        <v>40</v>
      </c>
      <c r="I19" s="11">
        <v>1</v>
      </c>
      <c r="J19" s="11" t="s">
        <v>41</v>
      </c>
      <c r="K19" s="19"/>
    </row>
    <row r="20" ht="42.75" spans="2:11">
      <c r="B20" s="7">
        <v>17</v>
      </c>
      <c r="C20" s="11"/>
      <c r="D20" s="10" t="s">
        <v>59</v>
      </c>
      <c r="E20" s="10" t="s">
        <v>60</v>
      </c>
      <c r="F20" s="10"/>
      <c r="G20" s="10"/>
      <c r="H20" s="11" t="s">
        <v>40</v>
      </c>
      <c r="I20" s="11">
        <v>3</v>
      </c>
      <c r="J20" s="11" t="s">
        <v>61</v>
      </c>
      <c r="K20" s="19"/>
    </row>
    <row r="21" ht="71.25" spans="2:11">
      <c r="B21" s="7">
        <v>18</v>
      </c>
      <c r="C21" s="10" t="s">
        <v>62</v>
      </c>
      <c r="D21" s="10" t="s">
        <v>63</v>
      </c>
      <c r="E21" s="10" t="s">
        <v>64</v>
      </c>
      <c r="F21" s="10" t="s">
        <v>65</v>
      </c>
      <c r="G21" s="10"/>
      <c r="H21" s="10"/>
      <c r="I21" s="11">
        <v>1</v>
      </c>
      <c r="J21" s="11" t="s">
        <v>66</v>
      </c>
      <c r="K21" s="19"/>
    </row>
    <row r="22" ht="15.75" spans="2:11">
      <c r="B22" s="7">
        <v>19</v>
      </c>
      <c r="C22" s="11"/>
      <c r="D22" s="10" t="s">
        <v>67</v>
      </c>
      <c r="E22" s="10" t="s">
        <v>68</v>
      </c>
      <c r="F22" s="10" t="s">
        <v>69</v>
      </c>
      <c r="G22" s="10"/>
      <c r="H22" s="10"/>
      <c r="I22" s="11">
        <v>1</v>
      </c>
      <c r="J22" s="11">
        <v>1</v>
      </c>
      <c r="K22" s="21"/>
    </row>
    <row r="23" ht="57" spans="2:11">
      <c r="B23" s="7">
        <v>20</v>
      </c>
      <c r="C23" s="11"/>
      <c r="D23" s="10" t="s">
        <v>70</v>
      </c>
      <c r="E23" s="10" t="s">
        <v>71</v>
      </c>
      <c r="F23" s="11"/>
      <c r="G23" s="10" t="s">
        <v>72</v>
      </c>
      <c r="H23" s="11"/>
      <c r="I23" s="11">
        <v>1</v>
      </c>
      <c r="J23" s="11">
        <v>1</v>
      </c>
      <c r="K23" s="21"/>
    </row>
    <row r="24" ht="15.75" spans="2:11">
      <c r="B24" s="7"/>
      <c r="C24" s="11"/>
      <c r="D24" s="10" t="s">
        <v>109</v>
      </c>
      <c r="E24" s="10" t="s">
        <v>110</v>
      </c>
      <c r="F24" s="10"/>
      <c r="G24" s="10"/>
      <c r="H24" s="11"/>
      <c r="I24" s="11">
        <v>0.5</v>
      </c>
      <c r="J24" s="11">
        <v>0.5</v>
      </c>
      <c r="K24" s="21"/>
    </row>
    <row r="25" ht="15.75" spans="2:11">
      <c r="B25" s="7">
        <v>21</v>
      </c>
      <c r="C25" s="11"/>
      <c r="D25" s="10" t="s">
        <v>73</v>
      </c>
      <c r="E25" s="10" t="s">
        <v>74</v>
      </c>
      <c r="F25" s="10" t="s">
        <v>75</v>
      </c>
      <c r="G25" s="10"/>
      <c r="H25" s="10"/>
      <c r="I25" s="11">
        <v>1</v>
      </c>
      <c r="J25" s="11">
        <v>1</v>
      </c>
      <c r="K25" s="21"/>
    </row>
    <row r="26" ht="90" customHeight="1" spans="2:11">
      <c r="B26" s="7">
        <v>22</v>
      </c>
      <c r="C26" s="10" t="s">
        <v>76</v>
      </c>
      <c r="D26" s="10" t="s">
        <v>77</v>
      </c>
      <c r="E26" s="10" t="s">
        <v>78</v>
      </c>
      <c r="F26" s="10" t="s">
        <v>79</v>
      </c>
      <c r="G26" s="10"/>
      <c r="H26" s="10"/>
      <c r="I26" s="11">
        <v>50</v>
      </c>
      <c r="J26" s="11"/>
      <c r="K26" s="19"/>
    </row>
    <row r="27" ht="32.25" customHeight="1" spans="2:11">
      <c r="B27" s="7">
        <v>23</v>
      </c>
      <c r="C27" s="10"/>
      <c r="D27" s="10" t="s">
        <v>80</v>
      </c>
      <c r="E27" s="10" t="s">
        <v>81</v>
      </c>
      <c r="F27" s="10"/>
      <c r="G27" s="10"/>
      <c r="H27" s="10"/>
      <c r="I27" s="11"/>
      <c r="J27" s="11"/>
      <c r="K27" s="19"/>
    </row>
    <row r="28" ht="29.25" spans="2:11">
      <c r="B28" s="12" t="s">
        <v>82</v>
      </c>
      <c r="C28" s="13"/>
      <c r="D28" s="14"/>
      <c r="E28" s="13"/>
      <c r="F28" s="13"/>
      <c r="G28" s="13"/>
      <c r="H28" s="13"/>
      <c r="I28" s="23">
        <f>SUM(I4:I25)</f>
        <v>65.5</v>
      </c>
      <c r="J28" s="23" t="s">
        <v>111</v>
      </c>
      <c r="K28" s="24" t="s">
        <v>112</v>
      </c>
    </row>
    <row r="29" spans="2:11"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2:11">
      <c r="B30" s="15"/>
      <c r="C30" s="15"/>
      <c r="D30" s="15"/>
      <c r="E30" s="15"/>
      <c r="F30" s="15"/>
      <c r="G30" s="15"/>
      <c r="H30" s="15"/>
      <c r="I30" s="15"/>
      <c r="J30" s="15"/>
      <c r="K30" s="15"/>
    </row>
  </sheetData>
  <mergeCells count="9">
    <mergeCell ref="B2:K2"/>
    <mergeCell ref="D6:K6"/>
    <mergeCell ref="I26:J26"/>
    <mergeCell ref="C4:C8"/>
    <mergeCell ref="C9:C20"/>
    <mergeCell ref="C21:C25"/>
    <mergeCell ref="C26:C27"/>
    <mergeCell ref="F9:F20"/>
    <mergeCell ref="K17:K2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模组测温</vt:lpstr>
      <vt:lpstr>TEC工业测温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田志远2</dc:creator>
  <cp:lastModifiedBy>November Rain</cp:lastModifiedBy>
  <dcterms:created xsi:type="dcterms:W3CDTF">2022-08-05T01:13:00Z</dcterms:created>
  <dcterms:modified xsi:type="dcterms:W3CDTF">2023-11-14T01:23:58Z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288812C99BC84F3F8148D8AABAAD6E12</vt:lpwstr>
  </property>
  <property fmtid="{D5CDD505-2E9C-101B-9397-08002B2CF9AE}" pid="3" name="KSOProductBuildVer">
    <vt:lpwstr>2052-12.1.0.15933</vt:lpwstr>
  </property>
</Properties>
</file>