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52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<sst xmlns="http://schemas.openxmlformats.org/spreadsheetml/2006/main" count="99" uniqueCount="30">
  <si>
    <t>要求最小成像像元个数</t>
  </si>
  <si>
    <t>可观测厂内所有黑体</t>
  </si>
  <si>
    <r>
      <t>实际物距（m）</t>
    </r>
    <r>
      <rPr>
        <sz val="11"/>
        <color theme="1"/>
        <rFont val="宋体"/>
        <charset val="134"/>
        <scheme val="minor"/>
      </rPr>
      <t xml:space="preserve">
                      </t>
    </r>
    <r>
      <rPr>
        <b/>
        <sz val="14"/>
        <color theme="1"/>
        <rFont val="宋体"/>
        <charset val="134"/>
        <scheme val="minor"/>
      </rPr>
      <t xml:space="preserve"> </t>
    </r>
    <r>
      <rPr>
        <b/>
        <sz val="18"/>
        <color theme="1"/>
        <rFont val="宋体"/>
        <charset val="134"/>
        <scheme val="minor"/>
      </rPr>
      <t>可准确测温最小目标大小（mm）</t>
    </r>
  </si>
  <si>
    <t>厂内靶面小于30mm的黑体无法观测（1500）</t>
  </si>
  <si>
    <t>厂内靶面小于50mm的黑体无法观测（无法看清高温650、1500）</t>
  </si>
  <si>
    <t>厂内所有黑体均无法观测</t>
  </si>
  <si>
    <t>产品型号</t>
  </si>
  <si>
    <t>像元尺寸（μm）</t>
  </si>
  <si>
    <t>镜头类型</t>
  </si>
  <si>
    <t>镜头名称</t>
  </si>
  <si>
    <t>镜头焦距（mm）</t>
  </si>
  <si>
    <t>ZC16C</t>
  </si>
  <si>
    <t>单视场</t>
  </si>
  <si>
    <t>广角</t>
  </si>
  <si>
    <t>计算公式：
可准确测温最小目标大小=实际物距*要求最小成像像元个数*像元尺寸/镜头焦距</t>
  </si>
  <si>
    <t>标准</t>
  </si>
  <si>
    <t>中长焦</t>
  </si>
  <si>
    <t>长焦</t>
  </si>
  <si>
    <t>双视场</t>
  </si>
  <si>
    <t>ZC16D</t>
  </si>
  <si>
    <t>ZC16A</t>
  </si>
  <si>
    <t>高温</t>
  </si>
  <si>
    <t>ZC16B</t>
  </si>
  <si>
    <t>ZC08A</t>
  </si>
  <si>
    <t>ZC08B</t>
  </si>
  <si>
    <t>ZC08D</t>
  </si>
  <si>
    <t>ZC08E</t>
  </si>
  <si>
    <t>ZC19A</t>
  </si>
  <si>
    <t>可调焦</t>
  </si>
  <si>
    <t>定焦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</si>
</sst>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36"/>
      <color theme="1"/>
      <name val="宋体"/>
      <charset val="134"/>
      <scheme val="minor"/>
    </font>
    <font>
      <sz val="2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4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 diagonalUp="1">
      <left style="thin">
        <color auto="1"/>
      </left>
      <right/>
      <top style="thin">
        <color auto="1"/>
      </top>
      <bottom/>
      <diagonal style="thin">
        <color auto="1"/>
      </diagonal>
    </border>
    <border diagonalUp="1">
      <left/>
      <right/>
      <top style="thin">
        <color auto="1"/>
      </top>
      <bottom/>
      <diagonal style="thin">
        <color auto="1"/>
      </diagonal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 diagonalUp="1">
      <left style="thin">
        <color auto="1"/>
      </left>
      <right/>
      <top/>
      <bottom/>
      <diagonal style="thin">
        <color auto="1"/>
      </diagonal>
    </border>
    <border diagonalUp="1">
      <left/>
      <right/>
      <top/>
      <bottom/>
      <diagonal style="thin">
        <color auto="1"/>
      </diagonal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 diagonalUp="1">
      <left style="thin">
        <color auto="1"/>
      </left>
      <right/>
      <top/>
      <bottom style="thin">
        <color auto="1"/>
      </bottom>
      <diagonal style="thin">
        <color auto="1"/>
      </diagonal>
    </border>
    <border diagonalUp="1">
      <left/>
      <right/>
      <top/>
      <bottom style="thin">
        <color auto="1"/>
      </bottom>
      <diagonal style="thin">
        <color auto="1"/>
      </diagonal>
    </border>
    <border diagonalUp="1">
      <left/>
      <right style="thin">
        <color auto="1"/>
      </right>
      <top style="thin">
        <color auto="1"/>
      </top>
      <bottom/>
      <diagonal style="thin">
        <color auto="1"/>
      </diagonal>
    </border>
    <border diagonalUp="1">
      <left/>
      <right style="thin">
        <color auto="1"/>
      </right>
      <top/>
      <bottom/>
      <diagonal style="thin">
        <color auto="1"/>
      </diagonal>
    </border>
    <border diagonalUp="1">
      <left/>
      <right style="thin">
        <color auto="1"/>
      </right>
      <top/>
      <bottom style="thin">
        <color auto="1"/>
      </bottom>
      <diagonal style="thin">
        <color auto="1"/>
      </diagonal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6" borderId="2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1" applyNumberFormat="0" applyFill="0" applyAlignment="0" applyProtection="0">
      <alignment vertical="center"/>
    </xf>
    <xf numFmtId="0" fontId="9" fillId="0" borderId="21" applyNumberFormat="0" applyFill="0" applyAlignment="0" applyProtection="0">
      <alignment vertical="center"/>
    </xf>
    <xf numFmtId="0" fontId="10" fillId="0" borderId="2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23" applyNumberFormat="0" applyAlignment="0" applyProtection="0">
      <alignment vertical="center"/>
    </xf>
    <xf numFmtId="0" fontId="12" fillId="8" borderId="24" applyNumberFormat="0" applyAlignment="0" applyProtection="0">
      <alignment vertical="center"/>
    </xf>
    <xf numFmtId="0" fontId="13" fillId="8" borderId="23" applyNumberFormat="0" applyAlignment="0" applyProtection="0">
      <alignment vertical="center"/>
    </xf>
    <xf numFmtId="0" fontId="14" fillId="9" borderId="25" applyNumberFormat="0" applyAlignment="0" applyProtection="0">
      <alignment vertical="center"/>
    </xf>
    <xf numFmtId="0" fontId="15" fillId="0" borderId="26" applyNumberFormat="0" applyFill="0" applyAlignment="0" applyProtection="0">
      <alignment vertical="center"/>
    </xf>
    <xf numFmtId="0" fontId="16" fillId="0" borderId="27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2" borderId="4" xfId="0" applyFill="1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4">
    <dxf>
      <fill>
        <patternFill patternType="solid">
          <bgColor rgb="FF00B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65"/>
  <sheetViews>
    <sheetView tabSelected="1" topLeftCell="A15" workbookViewId="0">
      <selection activeCell="F5" sqref="F5"/>
    </sheetView>
  </sheetViews>
  <sheetFormatPr defaultColWidth="9" defaultRowHeight="13.5"/>
  <cols>
    <col min="2" max="3" width="16" customWidth="1"/>
    <col min="5" max="5" width="28.6283185840708" customWidth="1"/>
    <col min="6" max="6" width="19.1238938053097" customWidth="1"/>
    <col min="7" max="7" width="19.6283185840708" customWidth="1"/>
    <col min="8" max="16" width="12.6283185840708"/>
  </cols>
  <sheetData>
    <row r="1" ht="30" customHeight="1" spans="1:16">
      <c r="A1" s="1" t="s">
        <v>0</v>
      </c>
      <c r="B1" s="2"/>
      <c r="C1" s="3">
        <v>10</v>
      </c>
      <c r="D1" s="4"/>
      <c r="E1" s="5" t="s">
        <v>1</v>
      </c>
      <c r="F1" s="6" t="s">
        <v>2</v>
      </c>
      <c r="G1" s="7"/>
      <c r="H1" s="7"/>
      <c r="I1" s="7"/>
      <c r="J1" s="7"/>
      <c r="K1" s="7"/>
      <c r="L1" s="7"/>
      <c r="M1" s="7"/>
      <c r="N1" s="7"/>
      <c r="O1" s="7"/>
      <c r="P1" s="25"/>
    </row>
    <row r="2" ht="30" customHeight="1" spans="1:16">
      <c r="A2" s="8"/>
      <c r="B2" s="9"/>
      <c r="C2" s="10"/>
      <c r="D2" s="11"/>
      <c r="E2" s="12" t="s">
        <v>3</v>
      </c>
      <c r="F2" s="13"/>
      <c r="G2" s="14"/>
      <c r="H2" s="14"/>
      <c r="I2" s="14"/>
      <c r="J2" s="14"/>
      <c r="K2" s="14"/>
      <c r="L2" s="14"/>
      <c r="M2" s="14"/>
      <c r="N2" s="14"/>
      <c r="O2" s="14"/>
      <c r="P2" s="26"/>
    </row>
    <row r="3" ht="30" customHeight="1" spans="1:16">
      <c r="A3" s="8"/>
      <c r="B3" s="9"/>
      <c r="C3" s="10"/>
      <c r="D3" s="15"/>
      <c r="E3" s="12" t="s">
        <v>4</v>
      </c>
      <c r="F3" s="13"/>
      <c r="G3" s="14"/>
      <c r="H3" s="14"/>
      <c r="I3" s="14"/>
      <c r="J3" s="14"/>
      <c r="K3" s="14"/>
      <c r="L3" s="14"/>
      <c r="M3" s="14"/>
      <c r="N3" s="14"/>
      <c r="O3" s="14"/>
      <c r="P3" s="26"/>
    </row>
    <row r="4" ht="30" customHeight="1" spans="1:16">
      <c r="A4" s="16"/>
      <c r="B4" s="17"/>
      <c r="C4" s="18"/>
      <c r="D4" s="19"/>
      <c r="E4" s="12" t="s">
        <v>5</v>
      </c>
      <c r="F4" s="20"/>
      <c r="G4" s="21"/>
      <c r="H4" s="21"/>
      <c r="I4" s="21"/>
      <c r="J4" s="21"/>
      <c r="K4" s="21"/>
      <c r="L4" s="21"/>
      <c r="M4" s="21"/>
      <c r="N4" s="21"/>
      <c r="O4" s="21"/>
      <c r="P4" s="27"/>
    </row>
    <row r="5" ht="20" customHeight="1" spans="1:16">
      <c r="A5" s="5" t="s">
        <v>6</v>
      </c>
      <c r="B5" s="5" t="s">
        <v>7</v>
      </c>
      <c r="C5" s="5" t="s">
        <v>8</v>
      </c>
      <c r="D5" s="5" t="s">
        <v>9</v>
      </c>
      <c r="E5" s="5" t="s">
        <v>10</v>
      </c>
      <c r="F5" s="5">
        <v>1</v>
      </c>
      <c r="G5" s="5">
        <v>2</v>
      </c>
      <c r="H5" s="5">
        <v>3</v>
      </c>
      <c r="I5" s="5">
        <v>5</v>
      </c>
      <c r="J5" s="5">
        <v>8</v>
      </c>
      <c r="K5" s="5">
        <v>10</v>
      </c>
      <c r="L5" s="5">
        <v>15</v>
      </c>
      <c r="M5" s="5">
        <v>20</v>
      </c>
      <c r="N5" s="5">
        <v>30</v>
      </c>
      <c r="O5" s="5">
        <v>50</v>
      </c>
      <c r="P5" s="5">
        <v>100</v>
      </c>
    </row>
    <row r="6" ht="20" customHeight="1" spans="1:21">
      <c r="A6" s="5" t="s">
        <v>11</v>
      </c>
      <c r="B6" s="5">
        <v>12</v>
      </c>
      <c r="C6" s="5" t="s">
        <v>12</v>
      </c>
      <c r="D6" s="5" t="s">
        <v>13</v>
      </c>
      <c r="E6" s="5">
        <v>10</v>
      </c>
      <c r="F6" s="5">
        <f>F$5*$B6*$C$1/$E6</f>
        <v>12</v>
      </c>
      <c r="G6" s="5">
        <f>G$5*$B6*$C$1/$E6</f>
        <v>24</v>
      </c>
      <c r="H6" s="5">
        <f t="shared" ref="H6:P6" si="0">H$5*$B6*$C$1/$E6</f>
        <v>36</v>
      </c>
      <c r="I6" s="5">
        <f t="shared" si="0"/>
        <v>60</v>
      </c>
      <c r="J6" s="5">
        <f t="shared" si="0"/>
        <v>96</v>
      </c>
      <c r="K6" s="5">
        <f t="shared" si="0"/>
        <v>120</v>
      </c>
      <c r="L6" s="5">
        <f t="shared" si="0"/>
        <v>180</v>
      </c>
      <c r="M6" s="5">
        <f t="shared" si="0"/>
        <v>240</v>
      </c>
      <c r="N6" s="5">
        <f t="shared" si="0"/>
        <v>360</v>
      </c>
      <c r="O6" s="5">
        <f t="shared" si="0"/>
        <v>600</v>
      </c>
      <c r="P6" s="5">
        <f t="shared" si="0"/>
        <v>1200</v>
      </c>
      <c r="Q6" s="28"/>
      <c r="R6" s="29" t="s">
        <v>14</v>
      </c>
      <c r="S6" s="30"/>
      <c r="T6" s="30"/>
      <c r="U6" s="30"/>
    </row>
    <row r="7" ht="20" customHeight="1" spans="1:21">
      <c r="A7" s="5"/>
      <c r="B7" s="5">
        <f t="shared" ref="B7:B38" si="1">B6</f>
        <v>12</v>
      </c>
      <c r="C7" s="5"/>
      <c r="D7" s="5" t="s">
        <v>15</v>
      </c>
      <c r="E7" s="5">
        <v>17.7</v>
      </c>
      <c r="F7" s="5">
        <f t="shared" ref="F7:F38" si="2">F$5*$B7*$C$1/$E7</f>
        <v>6.77966101694915</v>
      </c>
      <c r="G7" s="5">
        <f t="shared" ref="G7:G38" si="3">G$5*$B7*$C$1/$E7</f>
        <v>13.5593220338983</v>
      </c>
      <c r="H7" s="5">
        <f t="shared" ref="H7:H38" si="4">H$5*$B7*$C$1/$E7</f>
        <v>20.3389830508475</v>
      </c>
      <c r="I7" s="5">
        <f t="shared" ref="I7:I38" si="5">I$5*$B7*$C$1/$E7</f>
        <v>33.8983050847458</v>
      </c>
      <c r="J7" s="5">
        <f t="shared" ref="J7:J38" si="6">J$5*$B7*$C$1/$E7</f>
        <v>54.2372881355932</v>
      </c>
      <c r="K7" s="5">
        <f t="shared" ref="K7:K38" si="7">K$5*$B7*$C$1/$E7</f>
        <v>67.7966101694915</v>
      </c>
      <c r="L7" s="5">
        <f t="shared" ref="L7:L38" si="8">L$5*$B7*$C$1/$E7</f>
        <v>101.694915254237</v>
      </c>
      <c r="M7" s="5">
        <f t="shared" ref="M7:M38" si="9">M$5*$B7*$C$1/$E7</f>
        <v>135.593220338983</v>
      </c>
      <c r="N7" s="5">
        <f t="shared" ref="N7:N38" si="10">N$5*$B7*$C$1/$E7</f>
        <v>203.389830508475</v>
      </c>
      <c r="O7" s="5">
        <f t="shared" ref="O7:O38" si="11">O$5*$B7*$C$1/$E7</f>
        <v>338.983050847458</v>
      </c>
      <c r="P7" s="5">
        <f t="shared" ref="P7:P38" si="12">P$5*$B7*$C$1/$E7</f>
        <v>677.966101694915</v>
      </c>
      <c r="Q7" s="28"/>
      <c r="R7" s="30"/>
      <c r="S7" s="30"/>
      <c r="T7" s="30"/>
      <c r="U7" s="30"/>
    </row>
    <row r="8" ht="20" customHeight="1" spans="1:21">
      <c r="A8" s="5"/>
      <c r="B8" s="5">
        <f t="shared" si="1"/>
        <v>12</v>
      </c>
      <c r="C8" s="5"/>
      <c r="D8" s="5" t="s">
        <v>16</v>
      </c>
      <c r="E8" s="5">
        <v>29</v>
      </c>
      <c r="F8" s="5">
        <f t="shared" si="2"/>
        <v>4.13793103448276</v>
      </c>
      <c r="G8" s="5">
        <f t="shared" si="3"/>
        <v>8.27586206896552</v>
      </c>
      <c r="H8" s="5">
        <f t="shared" si="4"/>
        <v>12.4137931034483</v>
      </c>
      <c r="I8" s="5">
        <f t="shared" si="5"/>
        <v>20.6896551724138</v>
      </c>
      <c r="J8" s="5">
        <f t="shared" si="6"/>
        <v>33.1034482758621</v>
      </c>
      <c r="K8" s="5">
        <f t="shared" si="7"/>
        <v>41.3793103448276</v>
      </c>
      <c r="L8" s="5">
        <f t="shared" si="8"/>
        <v>62.0689655172414</v>
      </c>
      <c r="M8" s="5">
        <f t="shared" si="9"/>
        <v>82.7586206896552</v>
      </c>
      <c r="N8" s="5">
        <f t="shared" si="10"/>
        <v>124.137931034483</v>
      </c>
      <c r="O8" s="5">
        <f t="shared" si="11"/>
        <v>206.896551724138</v>
      </c>
      <c r="P8" s="5">
        <f t="shared" si="12"/>
        <v>413.793103448276</v>
      </c>
      <c r="Q8" s="28"/>
      <c r="R8" s="30"/>
      <c r="S8" s="30"/>
      <c r="T8" s="30"/>
      <c r="U8" s="30"/>
    </row>
    <row r="9" ht="20" customHeight="1" spans="1:21">
      <c r="A9" s="5"/>
      <c r="B9" s="5">
        <f t="shared" si="1"/>
        <v>12</v>
      </c>
      <c r="C9" s="5"/>
      <c r="D9" s="5" t="s">
        <v>17</v>
      </c>
      <c r="E9" s="5">
        <v>62.9</v>
      </c>
      <c r="F9" s="5">
        <f t="shared" si="2"/>
        <v>1.90779014308426</v>
      </c>
      <c r="G9" s="5">
        <f t="shared" si="3"/>
        <v>3.81558028616852</v>
      </c>
      <c r="H9" s="5">
        <f t="shared" si="4"/>
        <v>5.72337042925278</v>
      </c>
      <c r="I9" s="5">
        <f t="shared" si="5"/>
        <v>9.5389507154213</v>
      </c>
      <c r="J9" s="5">
        <f t="shared" si="6"/>
        <v>15.2623211446741</v>
      </c>
      <c r="K9" s="5">
        <f t="shared" si="7"/>
        <v>19.0779014308426</v>
      </c>
      <c r="L9" s="5">
        <f t="shared" si="8"/>
        <v>28.6168521462639</v>
      </c>
      <c r="M9" s="5">
        <f t="shared" si="9"/>
        <v>38.1558028616852</v>
      </c>
      <c r="N9" s="5">
        <f t="shared" si="10"/>
        <v>57.2337042925278</v>
      </c>
      <c r="O9" s="5">
        <f t="shared" si="11"/>
        <v>95.389507154213</v>
      </c>
      <c r="P9" s="5">
        <f t="shared" si="12"/>
        <v>190.779014308426</v>
      </c>
      <c r="Q9" s="28"/>
      <c r="R9" s="30"/>
      <c r="S9" s="30"/>
      <c r="T9" s="30"/>
      <c r="U9" s="30"/>
    </row>
    <row r="10" ht="20" customHeight="1" spans="1:21">
      <c r="A10" s="5"/>
      <c r="B10" s="5">
        <f t="shared" si="1"/>
        <v>12</v>
      </c>
      <c r="C10" s="5" t="s">
        <v>18</v>
      </c>
      <c r="D10" s="5" t="s">
        <v>15</v>
      </c>
      <c r="E10" s="5">
        <v>17.7</v>
      </c>
      <c r="F10" s="5">
        <f t="shared" si="2"/>
        <v>6.77966101694915</v>
      </c>
      <c r="G10" s="5">
        <f t="shared" si="3"/>
        <v>13.5593220338983</v>
      </c>
      <c r="H10" s="5">
        <f t="shared" si="4"/>
        <v>20.3389830508475</v>
      </c>
      <c r="I10" s="5">
        <f t="shared" si="5"/>
        <v>33.8983050847458</v>
      </c>
      <c r="J10" s="5">
        <f t="shared" si="6"/>
        <v>54.2372881355932</v>
      </c>
      <c r="K10" s="5">
        <f t="shared" si="7"/>
        <v>67.7966101694915</v>
      </c>
      <c r="L10" s="5">
        <f t="shared" si="8"/>
        <v>101.694915254237</v>
      </c>
      <c r="M10" s="5">
        <f t="shared" si="9"/>
        <v>135.593220338983</v>
      </c>
      <c r="N10" s="5">
        <f t="shared" si="10"/>
        <v>203.389830508475</v>
      </c>
      <c r="O10" s="5">
        <f t="shared" si="11"/>
        <v>338.983050847458</v>
      </c>
      <c r="P10" s="5">
        <f t="shared" si="12"/>
        <v>677.966101694915</v>
      </c>
      <c r="Q10" s="28"/>
      <c r="R10" s="30"/>
      <c r="S10" s="30"/>
      <c r="T10" s="30"/>
      <c r="U10" s="30"/>
    </row>
    <row r="11" ht="20" customHeight="1" spans="1:21">
      <c r="A11" s="5"/>
      <c r="B11" s="5">
        <f t="shared" si="1"/>
        <v>12</v>
      </c>
      <c r="C11" s="5"/>
      <c r="D11" s="5" t="s">
        <v>16</v>
      </c>
      <c r="E11" s="5">
        <v>29</v>
      </c>
      <c r="F11" s="5">
        <f t="shared" si="2"/>
        <v>4.13793103448276</v>
      </c>
      <c r="G11" s="5">
        <f t="shared" si="3"/>
        <v>8.27586206896552</v>
      </c>
      <c r="H11" s="5">
        <f t="shared" si="4"/>
        <v>12.4137931034483</v>
      </c>
      <c r="I11" s="5">
        <f t="shared" si="5"/>
        <v>20.6896551724138</v>
      </c>
      <c r="J11" s="5">
        <f t="shared" si="6"/>
        <v>33.1034482758621</v>
      </c>
      <c r="K11" s="5">
        <f t="shared" si="7"/>
        <v>41.3793103448276</v>
      </c>
      <c r="L11" s="5">
        <f t="shared" si="8"/>
        <v>62.0689655172414</v>
      </c>
      <c r="M11" s="5">
        <f t="shared" si="9"/>
        <v>82.7586206896552</v>
      </c>
      <c r="N11" s="5">
        <f t="shared" si="10"/>
        <v>124.137931034483</v>
      </c>
      <c r="O11" s="5">
        <f t="shared" si="11"/>
        <v>206.896551724138</v>
      </c>
      <c r="P11" s="5">
        <f t="shared" si="12"/>
        <v>413.793103448276</v>
      </c>
      <c r="Q11" s="28"/>
      <c r="R11" s="30"/>
      <c r="S11" s="30"/>
      <c r="T11" s="30"/>
      <c r="U11" s="30"/>
    </row>
    <row r="12" ht="20" customHeight="1" spans="1:21">
      <c r="A12" s="5"/>
      <c r="B12" s="5">
        <f t="shared" si="1"/>
        <v>12</v>
      </c>
      <c r="C12" s="5" t="s">
        <v>18</v>
      </c>
      <c r="D12" s="5" t="s">
        <v>15</v>
      </c>
      <c r="E12" s="5">
        <v>17.3</v>
      </c>
      <c r="F12" s="5">
        <f t="shared" si="2"/>
        <v>6.9364161849711</v>
      </c>
      <c r="G12" s="5">
        <f t="shared" si="3"/>
        <v>13.8728323699422</v>
      </c>
      <c r="H12" s="5">
        <f t="shared" si="4"/>
        <v>20.8092485549133</v>
      </c>
      <c r="I12" s="5">
        <f t="shared" si="5"/>
        <v>34.6820809248555</v>
      </c>
      <c r="J12" s="5">
        <f t="shared" si="6"/>
        <v>55.4913294797688</v>
      </c>
      <c r="K12" s="5">
        <f t="shared" si="7"/>
        <v>69.364161849711</v>
      </c>
      <c r="L12" s="5">
        <f t="shared" si="8"/>
        <v>104.046242774566</v>
      </c>
      <c r="M12" s="5">
        <f t="shared" si="9"/>
        <v>138.728323699422</v>
      </c>
      <c r="N12" s="5">
        <f t="shared" si="10"/>
        <v>208.092485549133</v>
      </c>
      <c r="O12" s="5">
        <f t="shared" si="11"/>
        <v>346.820809248555</v>
      </c>
      <c r="P12" s="5">
        <f t="shared" si="12"/>
        <v>693.64161849711</v>
      </c>
      <c r="Q12" s="28"/>
      <c r="R12" s="30"/>
      <c r="S12" s="30"/>
      <c r="T12" s="30"/>
      <c r="U12" s="30"/>
    </row>
    <row r="13" ht="20" customHeight="1" spans="1:17">
      <c r="A13" s="5"/>
      <c r="B13" s="5">
        <f t="shared" si="1"/>
        <v>12</v>
      </c>
      <c r="C13" s="5"/>
      <c r="D13" s="5" t="s">
        <v>13</v>
      </c>
      <c r="E13" s="5">
        <v>10.2</v>
      </c>
      <c r="F13" s="5">
        <f t="shared" si="2"/>
        <v>11.7647058823529</v>
      </c>
      <c r="G13" s="5">
        <f t="shared" si="3"/>
        <v>23.5294117647059</v>
      </c>
      <c r="H13" s="5">
        <f t="shared" si="4"/>
        <v>35.2941176470588</v>
      </c>
      <c r="I13" s="5">
        <f t="shared" si="5"/>
        <v>58.8235294117647</v>
      </c>
      <c r="J13" s="5">
        <f t="shared" si="6"/>
        <v>94.1176470588235</v>
      </c>
      <c r="K13" s="5">
        <f t="shared" si="7"/>
        <v>117.647058823529</v>
      </c>
      <c r="L13" s="5">
        <f t="shared" si="8"/>
        <v>176.470588235294</v>
      </c>
      <c r="M13" s="5">
        <f t="shared" si="9"/>
        <v>235.294117647059</v>
      </c>
      <c r="N13" s="5">
        <f t="shared" si="10"/>
        <v>352.941176470588</v>
      </c>
      <c r="O13" s="5">
        <f t="shared" si="11"/>
        <v>588.235294117647</v>
      </c>
      <c r="P13" s="5">
        <f t="shared" si="12"/>
        <v>1176.47058823529</v>
      </c>
      <c r="Q13" s="28"/>
    </row>
    <row r="14" ht="20" customHeight="1" spans="1:17">
      <c r="A14" s="5" t="s">
        <v>19</v>
      </c>
      <c r="B14" s="5">
        <f t="shared" si="1"/>
        <v>12</v>
      </c>
      <c r="C14" s="5" t="s">
        <v>12</v>
      </c>
      <c r="D14" s="5" t="s">
        <v>13</v>
      </c>
      <c r="E14" s="5">
        <v>6.1</v>
      </c>
      <c r="F14" s="5">
        <f t="shared" si="2"/>
        <v>19.672131147541</v>
      </c>
      <c r="G14" s="5">
        <f t="shared" si="3"/>
        <v>39.344262295082</v>
      </c>
      <c r="H14" s="5">
        <f t="shared" si="4"/>
        <v>59.016393442623</v>
      </c>
      <c r="I14" s="5">
        <f t="shared" si="5"/>
        <v>98.3606557377049</v>
      </c>
      <c r="J14" s="5">
        <f t="shared" si="6"/>
        <v>157.377049180328</v>
      </c>
      <c r="K14" s="5">
        <f t="shared" si="7"/>
        <v>196.72131147541</v>
      </c>
      <c r="L14" s="5">
        <f t="shared" si="8"/>
        <v>295.081967213115</v>
      </c>
      <c r="M14" s="5">
        <f t="shared" si="9"/>
        <v>393.44262295082</v>
      </c>
      <c r="N14" s="5">
        <f t="shared" si="10"/>
        <v>590.16393442623</v>
      </c>
      <c r="O14" s="5">
        <f t="shared" si="11"/>
        <v>983.606557377049</v>
      </c>
      <c r="P14" s="5">
        <f t="shared" si="12"/>
        <v>1967.2131147541</v>
      </c>
      <c r="Q14" s="28"/>
    </row>
    <row r="15" ht="20" customHeight="1" spans="1:17">
      <c r="A15" s="5"/>
      <c r="B15" s="5">
        <f t="shared" si="1"/>
        <v>12</v>
      </c>
      <c r="C15" s="5"/>
      <c r="D15" s="5" t="s">
        <v>15</v>
      </c>
      <c r="E15" s="5">
        <v>10.5</v>
      </c>
      <c r="F15" s="5">
        <f t="shared" si="2"/>
        <v>11.4285714285714</v>
      </c>
      <c r="G15" s="5">
        <f t="shared" si="3"/>
        <v>22.8571428571429</v>
      </c>
      <c r="H15" s="5">
        <f t="shared" si="4"/>
        <v>34.2857142857143</v>
      </c>
      <c r="I15" s="5">
        <f t="shared" si="5"/>
        <v>57.1428571428571</v>
      </c>
      <c r="J15" s="5">
        <f t="shared" si="6"/>
        <v>91.4285714285714</v>
      </c>
      <c r="K15" s="5">
        <f t="shared" si="7"/>
        <v>114.285714285714</v>
      </c>
      <c r="L15" s="5">
        <f t="shared" si="8"/>
        <v>171.428571428571</v>
      </c>
      <c r="M15" s="5">
        <f t="shared" si="9"/>
        <v>228.571428571429</v>
      </c>
      <c r="N15" s="5">
        <f t="shared" si="10"/>
        <v>342.857142857143</v>
      </c>
      <c r="O15" s="5">
        <f t="shared" si="11"/>
        <v>571.428571428571</v>
      </c>
      <c r="P15" s="5">
        <f t="shared" si="12"/>
        <v>1142.85714285714</v>
      </c>
      <c r="Q15" s="28"/>
    </row>
    <row r="16" ht="20" customHeight="1" spans="1:17">
      <c r="A16" s="5"/>
      <c r="B16" s="5">
        <f t="shared" si="1"/>
        <v>12</v>
      </c>
      <c r="C16" s="5"/>
      <c r="D16" s="5" t="s">
        <v>16</v>
      </c>
      <c r="E16" s="5">
        <v>17.7</v>
      </c>
      <c r="F16" s="5">
        <f t="shared" si="2"/>
        <v>6.77966101694915</v>
      </c>
      <c r="G16" s="5">
        <f t="shared" si="3"/>
        <v>13.5593220338983</v>
      </c>
      <c r="H16" s="5">
        <f t="shared" si="4"/>
        <v>20.3389830508475</v>
      </c>
      <c r="I16" s="5">
        <f t="shared" si="5"/>
        <v>33.8983050847458</v>
      </c>
      <c r="J16" s="5">
        <f t="shared" si="6"/>
        <v>54.2372881355932</v>
      </c>
      <c r="K16" s="5">
        <f t="shared" si="7"/>
        <v>67.7966101694915</v>
      </c>
      <c r="L16" s="5">
        <f t="shared" si="8"/>
        <v>101.694915254237</v>
      </c>
      <c r="M16" s="5">
        <f t="shared" si="9"/>
        <v>135.593220338983</v>
      </c>
      <c r="N16" s="5">
        <f t="shared" si="10"/>
        <v>203.389830508475</v>
      </c>
      <c r="O16" s="5">
        <f t="shared" si="11"/>
        <v>338.983050847458</v>
      </c>
      <c r="P16" s="5">
        <f t="shared" si="12"/>
        <v>677.966101694915</v>
      </c>
      <c r="Q16" s="28"/>
    </row>
    <row r="17" ht="20" customHeight="1" spans="1:17">
      <c r="A17" s="5"/>
      <c r="B17" s="5">
        <f t="shared" si="1"/>
        <v>12</v>
      </c>
      <c r="C17" s="5"/>
      <c r="D17" s="5" t="s">
        <v>17</v>
      </c>
      <c r="E17" s="5">
        <v>37.5</v>
      </c>
      <c r="F17" s="5">
        <f t="shared" si="2"/>
        <v>3.2</v>
      </c>
      <c r="G17" s="5">
        <f t="shared" si="3"/>
        <v>6.4</v>
      </c>
      <c r="H17" s="5">
        <f t="shared" si="4"/>
        <v>9.6</v>
      </c>
      <c r="I17" s="5">
        <f t="shared" si="5"/>
        <v>16</v>
      </c>
      <c r="J17" s="5">
        <f t="shared" si="6"/>
        <v>25.6</v>
      </c>
      <c r="K17" s="5">
        <f t="shared" si="7"/>
        <v>32</v>
      </c>
      <c r="L17" s="5">
        <f t="shared" si="8"/>
        <v>48</v>
      </c>
      <c r="M17" s="5">
        <f t="shared" si="9"/>
        <v>64</v>
      </c>
      <c r="N17" s="5">
        <f t="shared" si="10"/>
        <v>96</v>
      </c>
      <c r="O17" s="5">
        <f t="shared" si="11"/>
        <v>160</v>
      </c>
      <c r="P17" s="5">
        <f t="shared" si="12"/>
        <v>320</v>
      </c>
      <c r="Q17" s="28"/>
    </row>
    <row r="18" ht="20" customHeight="1" spans="1:17">
      <c r="A18" s="5"/>
      <c r="B18" s="5">
        <f t="shared" si="1"/>
        <v>12</v>
      </c>
      <c r="C18" s="5" t="s">
        <v>18</v>
      </c>
      <c r="D18" s="5" t="s">
        <v>15</v>
      </c>
      <c r="E18" s="5">
        <v>10.6</v>
      </c>
      <c r="F18" s="5">
        <f t="shared" si="2"/>
        <v>11.3207547169811</v>
      </c>
      <c r="G18" s="5">
        <f t="shared" si="3"/>
        <v>22.6415094339623</v>
      </c>
      <c r="H18" s="5">
        <f t="shared" si="4"/>
        <v>33.9622641509434</v>
      </c>
      <c r="I18" s="5">
        <f t="shared" si="5"/>
        <v>56.6037735849057</v>
      </c>
      <c r="J18" s="5">
        <f t="shared" si="6"/>
        <v>90.5660377358491</v>
      </c>
      <c r="K18" s="5">
        <f t="shared" si="7"/>
        <v>113.207547169811</v>
      </c>
      <c r="L18" s="5">
        <f t="shared" si="8"/>
        <v>169.811320754717</v>
      </c>
      <c r="M18" s="5">
        <f t="shared" si="9"/>
        <v>226.415094339623</v>
      </c>
      <c r="N18" s="5">
        <f t="shared" si="10"/>
        <v>339.622641509434</v>
      </c>
      <c r="O18" s="5">
        <f t="shared" si="11"/>
        <v>566.037735849057</v>
      </c>
      <c r="P18" s="5">
        <f t="shared" si="12"/>
        <v>1132.07547169811</v>
      </c>
      <c r="Q18" s="28"/>
    </row>
    <row r="19" ht="20" customHeight="1" spans="1:17">
      <c r="A19" s="5"/>
      <c r="B19" s="5">
        <f t="shared" si="1"/>
        <v>12</v>
      </c>
      <c r="C19" s="5"/>
      <c r="D19" s="5" t="s">
        <v>16</v>
      </c>
      <c r="E19" s="5">
        <v>17.4</v>
      </c>
      <c r="F19" s="5">
        <f t="shared" si="2"/>
        <v>6.89655172413793</v>
      </c>
      <c r="G19" s="5">
        <f t="shared" si="3"/>
        <v>13.7931034482759</v>
      </c>
      <c r="H19" s="5">
        <f t="shared" si="4"/>
        <v>20.6896551724138</v>
      </c>
      <c r="I19" s="5">
        <f t="shared" si="5"/>
        <v>34.4827586206897</v>
      </c>
      <c r="J19" s="5">
        <f t="shared" si="6"/>
        <v>55.1724137931035</v>
      </c>
      <c r="K19" s="5">
        <f t="shared" si="7"/>
        <v>68.9655172413793</v>
      </c>
      <c r="L19" s="5">
        <f t="shared" si="8"/>
        <v>103.448275862069</v>
      </c>
      <c r="M19" s="5">
        <f t="shared" si="9"/>
        <v>137.931034482759</v>
      </c>
      <c r="N19" s="5">
        <f t="shared" si="10"/>
        <v>206.896551724138</v>
      </c>
      <c r="O19" s="5">
        <f t="shared" si="11"/>
        <v>344.827586206897</v>
      </c>
      <c r="P19" s="5">
        <f t="shared" si="12"/>
        <v>689.655172413793</v>
      </c>
      <c r="Q19" s="28"/>
    </row>
    <row r="20" ht="20" customHeight="1" spans="1:17">
      <c r="A20" s="5"/>
      <c r="B20" s="5">
        <f t="shared" si="1"/>
        <v>12</v>
      </c>
      <c r="C20" s="5" t="s">
        <v>18</v>
      </c>
      <c r="D20" s="5" t="s">
        <v>15</v>
      </c>
      <c r="E20" s="5">
        <v>10.9</v>
      </c>
      <c r="F20" s="5">
        <f t="shared" si="2"/>
        <v>11.0091743119266</v>
      </c>
      <c r="G20" s="5">
        <f t="shared" si="3"/>
        <v>22.0183486238532</v>
      </c>
      <c r="H20" s="5">
        <f t="shared" si="4"/>
        <v>33.0275229357798</v>
      </c>
      <c r="I20" s="5">
        <f t="shared" si="5"/>
        <v>55.045871559633</v>
      </c>
      <c r="J20" s="5">
        <f t="shared" si="6"/>
        <v>88.0733944954128</v>
      </c>
      <c r="K20" s="5">
        <f t="shared" si="7"/>
        <v>110.091743119266</v>
      </c>
      <c r="L20" s="5">
        <f t="shared" si="8"/>
        <v>165.137614678899</v>
      </c>
      <c r="M20" s="5">
        <f t="shared" si="9"/>
        <v>220.183486238532</v>
      </c>
      <c r="N20" s="5">
        <f t="shared" si="10"/>
        <v>330.275229357798</v>
      </c>
      <c r="O20" s="5">
        <f t="shared" si="11"/>
        <v>550.45871559633</v>
      </c>
      <c r="P20" s="5">
        <f t="shared" si="12"/>
        <v>1100.91743119266</v>
      </c>
      <c r="Q20" s="28"/>
    </row>
    <row r="21" ht="20" customHeight="1" spans="1:17">
      <c r="A21" s="5"/>
      <c r="B21" s="5">
        <f t="shared" si="1"/>
        <v>12</v>
      </c>
      <c r="C21" s="5"/>
      <c r="D21" s="5" t="s">
        <v>13</v>
      </c>
      <c r="E21" s="5">
        <v>6.4</v>
      </c>
      <c r="F21" s="5">
        <f t="shared" si="2"/>
        <v>18.75</v>
      </c>
      <c r="G21" s="5">
        <f t="shared" si="3"/>
        <v>37.5</v>
      </c>
      <c r="H21" s="5">
        <f t="shared" si="4"/>
        <v>56.25</v>
      </c>
      <c r="I21" s="5">
        <f t="shared" si="5"/>
        <v>93.75</v>
      </c>
      <c r="J21" s="5">
        <f t="shared" si="6"/>
        <v>150</v>
      </c>
      <c r="K21" s="5">
        <f t="shared" si="7"/>
        <v>187.5</v>
      </c>
      <c r="L21" s="5">
        <f t="shared" si="8"/>
        <v>281.25</v>
      </c>
      <c r="M21" s="5">
        <f t="shared" si="9"/>
        <v>375</v>
      </c>
      <c r="N21" s="5">
        <f t="shared" si="10"/>
        <v>562.5</v>
      </c>
      <c r="O21" s="5">
        <f t="shared" si="11"/>
        <v>937.5</v>
      </c>
      <c r="P21" s="5">
        <f t="shared" si="12"/>
        <v>1875</v>
      </c>
      <c r="Q21" s="28"/>
    </row>
    <row r="22" ht="20" customHeight="1" spans="1:17">
      <c r="A22" s="5" t="s">
        <v>20</v>
      </c>
      <c r="B22" s="5">
        <f t="shared" si="1"/>
        <v>12</v>
      </c>
      <c r="C22" s="5" t="s">
        <v>12</v>
      </c>
      <c r="D22" s="5" t="s">
        <v>13</v>
      </c>
      <c r="E22" s="5">
        <v>10</v>
      </c>
      <c r="F22" s="5">
        <f t="shared" si="2"/>
        <v>12</v>
      </c>
      <c r="G22" s="5">
        <f t="shared" si="3"/>
        <v>24</v>
      </c>
      <c r="H22" s="5">
        <f t="shared" si="4"/>
        <v>36</v>
      </c>
      <c r="I22" s="5">
        <f t="shared" si="5"/>
        <v>60</v>
      </c>
      <c r="J22" s="5">
        <f t="shared" si="6"/>
        <v>96</v>
      </c>
      <c r="K22" s="5">
        <f t="shared" si="7"/>
        <v>120</v>
      </c>
      <c r="L22" s="5">
        <f t="shared" si="8"/>
        <v>180</v>
      </c>
      <c r="M22" s="5">
        <f t="shared" si="9"/>
        <v>240</v>
      </c>
      <c r="N22" s="5">
        <f t="shared" si="10"/>
        <v>360</v>
      </c>
      <c r="O22" s="5">
        <f t="shared" si="11"/>
        <v>600</v>
      </c>
      <c r="P22" s="5">
        <f t="shared" si="12"/>
        <v>1200</v>
      </c>
      <c r="Q22" s="28"/>
    </row>
    <row r="23" ht="20" customHeight="1" spans="1:17">
      <c r="A23" s="5"/>
      <c r="B23" s="5">
        <f t="shared" si="1"/>
        <v>12</v>
      </c>
      <c r="C23" s="5"/>
      <c r="D23" s="5" t="s">
        <v>15</v>
      </c>
      <c r="E23" s="5">
        <v>17.7</v>
      </c>
      <c r="F23" s="5">
        <f t="shared" si="2"/>
        <v>6.77966101694915</v>
      </c>
      <c r="G23" s="5">
        <f t="shared" si="3"/>
        <v>13.5593220338983</v>
      </c>
      <c r="H23" s="5">
        <f t="shared" si="4"/>
        <v>20.3389830508475</v>
      </c>
      <c r="I23" s="5">
        <f t="shared" si="5"/>
        <v>33.8983050847458</v>
      </c>
      <c r="J23" s="5">
        <f t="shared" si="6"/>
        <v>54.2372881355932</v>
      </c>
      <c r="K23" s="5">
        <f t="shared" si="7"/>
        <v>67.7966101694915</v>
      </c>
      <c r="L23" s="5">
        <f t="shared" si="8"/>
        <v>101.694915254237</v>
      </c>
      <c r="M23" s="5">
        <f t="shared" si="9"/>
        <v>135.593220338983</v>
      </c>
      <c r="N23" s="5">
        <f t="shared" si="10"/>
        <v>203.389830508475</v>
      </c>
      <c r="O23" s="5">
        <f t="shared" si="11"/>
        <v>338.983050847458</v>
      </c>
      <c r="P23" s="5">
        <f t="shared" si="12"/>
        <v>677.966101694915</v>
      </c>
      <c r="Q23" s="28"/>
    </row>
    <row r="24" ht="20" customHeight="1" spans="1:17">
      <c r="A24" s="5"/>
      <c r="B24" s="5">
        <f t="shared" si="1"/>
        <v>12</v>
      </c>
      <c r="C24" s="5"/>
      <c r="D24" s="5" t="s">
        <v>16</v>
      </c>
      <c r="E24" s="5">
        <v>29</v>
      </c>
      <c r="F24" s="5">
        <f t="shared" si="2"/>
        <v>4.13793103448276</v>
      </c>
      <c r="G24" s="5">
        <f t="shared" si="3"/>
        <v>8.27586206896552</v>
      </c>
      <c r="H24" s="5">
        <f t="shared" si="4"/>
        <v>12.4137931034483</v>
      </c>
      <c r="I24" s="5">
        <f t="shared" si="5"/>
        <v>20.6896551724138</v>
      </c>
      <c r="J24" s="5">
        <f t="shared" si="6"/>
        <v>33.1034482758621</v>
      </c>
      <c r="K24" s="5">
        <f t="shared" si="7"/>
        <v>41.3793103448276</v>
      </c>
      <c r="L24" s="5">
        <f t="shared" si="8"/>
        <v>62.0689655172414</v>
      </c>
      <c r="M24" s="5">
        <f t="shared" si="9"/>
        <v>82.7586206896552</v>
      </c>
      <c r="N24" s="5">
        <f t="shared" si="10"/>
        <v>124.137931034483</v>
      </c>
      <c r="O24" s="5">
        <f t="shared" si="11"/>
        <v>206.896551724138</v>
      </c>
      <c r="P24" s="5">
        <f t="shared" si="12"/>
        <v>413.793103448276</v>
      </c>
      <c r="Q24" s="28"/>
    </row>
    <row r="25" ht="20" customHeight="1" spans="1:17">
      <c r="A25" s="5"/>
      <c r="B25" s="5">
        <f t="shared" si="1"/>
        <v>12</v>
      </c>
      <c r="C25" s="5"/>
      <c r="D25" s="5" t="s">
        <v>17</v>
      </c>
      <c r="E25" s="5">
        <v>62.9</v>
      </c>
      <c r="F25" s="5">
        <f t="shared" si="2"/>
        <v>1.90779014308426</v>
      </c>
      <c r="G25" s="5">
        <f t="shared" si="3"/>
        <v>3.81558028616852</v>
      </c>
      <c r="H25" s="5">
        <f t="shared" si="4"/>
        <v>5.72337042925278</v>
      </c>
      <c r="I25" s="5">
        <f t="shared" si="5"/>
        <v>9.5389507154213</v>
      </c>
      <c r="J25" s="5">
        <f t="shared" si="6"/>
        <v>15.2623211446741</v>
      </c>
      <c r="K25" s="5">
        <f t="shared" si="7"/>
        <v>19.0779014308426</v>
      </c>
      <c r="L25" s="5">
        <f t="shared" si="8"/>
        <v>28.6168521462639</v>
      </c>
      <c r="M25" s="5">
        <f t="shared" si="9"/>
        <v>38.1558028616852</v>
      </c>
      <c r="N25" s="5">
        <f t="shared" si="10"/>
        <v>57.2337042925278</v>
      </c>
      <c r="O25" s="5">
        <f t="shared" si="11"/>
        <v>95.389507154213</v>
      </c>
      <c r="P25" s="5">
        <f t="shared" si="12"/>
        <v>190.779014308426</v>
      </c>
      <c r="Q25" s="28"/>
    </row>
    <row r="26" ht="20" customHeight="1" spans="1:17">
      <c r="A26" s="5"/>
      <c r="B26" s="5">
        <f t="shared" si="1"/>
        <v>12</v>
      </c>
      <c r="C26" s="5"/>
      <c r="D26" s="5" t="s">
        <v>21</v>
      </c>
      <c r="E26" s="5">
        <v>17.7</v>
      </c>
      <c r="F26" s="5">
        <f t="shared" si="2"/>
        <v>6.77966101694915</v>
      </c>
      <c r="G26" s="5">
        <f t="shared" si="3"/>
        <v>13.5593220338983</v>
      </c>
      <c r="H26" s="5">
        <f t="shared" si="4"/>
        <v>20.3389830508475</v>
      </c>
      <c r="I26" s="5">
        <f t="shared" si="5"/>
        <v>33.8983050847458</v>
      </c>
      <c r="J26" s="5">
        <f t="shared" si="6"/>
        <v>54.2372881355932</v>
      </c>
      <c r="K26" s="5">
        <f t="shared" si="7"/>
        <v>67.7966101694915</v>
      </c>
      <c r="L26" s="5">
        <f t="shared" si="8"/>
        <v>101.694915254237</v>
      </c>
      <c r="M26" s="5">
        <f t="shared" si="9"/>
        <v>135.593220338983</v>
      </c>
      <c r="N26" s="5">
        <f t="shared" si="10"/>
        <v>203.389830508475</v>
      </c>
      <c r="O26" s="5">
        <f t="shared" si="11"/>
        <v>338.983050847458</v>
      </c>
      <c r="P26" s="5">
        <f t="shared" si="12"/>
        <v>677.966101694915</v>
      </c>
      <c r="Q26" s="28"/>
    </row>
    <row r="27" ht="20" customHeight="1" spans="1:17">
      <c r="A27" s="5" t="s">
        <v>22</v>
      </c>
      <c r="B27" s="5">
        <f t="shared" si="1"/>
        <v>12</v>
      </c>
      <c r="C27" s="5" t="s">
        <v>12</v>
      </c>
      <c r="D27" s="5" t="s">
        <v>13</v>
      </c>
      <c r="E27" s="5">
        <v>6</v>
      </c>
      <c r="F27" s="5">
        <f t="shared" si="2"/>
        <v>20</v>
      </c>
      <c r="G27" s="5">
        <f t="shared" si="3"/>
        <v>40</v>
      </c>
      <c r="H27" s="5">
        <f t="shared" si="4"/>
        <v>60</v>
      </c>
      <c r="I27" s="5">
        <f t="shared" si="5"/>
        <v>100</v>
      </c>
      <c r="J27" s="5">
        <f t="shared" si="6"/>
        <v>160</v>
      </c>
      <c r="K27" s="5">
        <f t="shared" si="7"/>
        <v>200</v>
      </c>
      <c r="L27" s="5">
        <f t="shared" si="8"/>
        <v>300</v>
      </c>
      <c r="M27" s="5">
        <f t="shared" si="9"/>
        <v>400</v>
      </c>
      <c r="N27" s="5">
        <f t="shared" si="10"/>
        <v>600</v>
      </c>
      <c r="O27" s="5">
        <f t="shared" si="11"/>
        <v>1000</v>
      </c>
      <c r="P27" s="5">
        <f t="shared" si="12"/>
        <v>2000</v>
      </c>
      <c r="Q27" s="28"/>
    </row>
    <row r="28" ht="20" customHeight="1" spans="1:17">
      <c r="A28" s="5"/>
      <c r="B28" s="5">
        <f t="shared" si="1"/>
        <v>12</v>
      </c>
      <c r="C28" s="5"/>
      <c r="D28" s="5" t="s">
        <v>15</v>
      </c>
      <c r="E28" s="5">
        <v>10.5</v>
      </c>
      <c r="F28" s="5">
        <f t="shared" si="2"/>
        <v>11.4285714285714</v>
      </c>
      <c r="G28" s="5">
        <f t="shared" si="3"/>
        <v>22.8571428571429</v>
      </c>
      <c r="H28" s="5">
        <f t="shared" si="4"/>
        <v>34.2857142857143</v>
      </c>
      <c r="I28" s="5">
        <f t="shared" si="5"/>
        <v>57.1428571428571</v>
      </c>
      <c r="J28" s="5">
        <f t="shared" si="6"/>
        <v>91.4285714285714</v>
      </c>
      <c r="K28" s="5">
        <f t="shared" si="7"/>
        <v>114.285714285714</v>
      </c>
      <c r="L28" s="5">
        <f t="shared" si="8"/>
        <v>171.428571428571</v>
      </c>
      <c r="M28" s="5">
        <f t="shared" si="9"/>
        <v>228.571428571429</v>
      </c>
      <c r="N28" s="5">
        <f t="shared" si="10"/>
        <v>342.857142857143</v>
      </c>
      <c r="O28" s="5">
        <f t="shared" si="11"/>
        <v>571.428571428571</v>
      </c>
      <c r="P28" s="5">
        <f t="shared" si="12"/>
        <v>1142.85714285714</v>
      </c>
      <c r="Q28" s="28"/>
    </row>
    <row r="29" ht="20" customHeight="1" spans="1:17">
      <c r="A29" s="5"/>
      <c r="B29" s="5">
        <f t="shared" si="1"/>
        <v>12</v>
      </c>
      <c r="C29" s="5"/>
      <c r="D29" s="5" t="s">
        <v>16</v>
      </c>
      <c r="E29" s="5">
        <v>17.5</v>
      </c>
      <c r="F29" s="5">
        <f t="shared" si="2"/>
        <v>6.85714285714286</v>
      </c>
      <c r="G29" s="5">
        <f t="shared" si="3"/>
        <v>13.7142857142857</v>
      </c>
      <c r="H29" s="5">
        <f t="shared" si="4"/>
        <v>20.5714285714286</v>
      </c>
      <c r="I29" s="5">
        <f t="shared" si="5"/>
        <v>34.2857142857143</v>
      </c>
      <c r="J29" s="5">
        <f t="shared" si="6"/>
        <v>54.8571428571429</v>
      </c>
      <c r="K29" s="5">
        <f t="shared" si="7"/>
        <v>68.5714285714286</v>
      </c>
      <c r="L29" s="5">
        <f t="shared" si="8"/>
        <v>102.857142857143</v>
      </c>
      <c r="M29" s="5">
        <f t="shared" si="9"/>
        <v>137.142857142857</v>
      </c>
      <c r="N29" s="5">
        <f t="shared" si="10"/>
        <v>205.714285714286</v>
      </c>
      <c r="O29" s="5">
        <f t="shared" si="11"/>
        <v>342.857142857143</v>
      </c>
      <c r="P29" s="5">
        <f t="shared" si="12"/>
        <v>685.714285714286</v>
      </c>
      <c r="Q29" s="28"/>
    </row>
    <row r="30" ht="20" customHeight="1" spans="1:17">
      <c r="A30" s="5"/>
      <c r="B30" s="5">
        <f t="shared" si="1"/>
        <v>12</v>
      </c>
      <c r="C30" s="5"/>
      <c r="D30" s="5" t="s">
        <v>17</v>
      </c>
      <c r="E30" s="5">
        <v>37.5</v>
      </c>
      <c r="F30" s="5">
        <f t="shared" si="2"/>
        <v>3.2</v>
      </c>
      <c r="G30" s="5">
        <f t="shared" si="3"/>
        <v>6.4</v>
      </c>
      <c r="H30" s="5">
        <f t="shared" si="4"/>
        <v>9.6</v>
      </c>
      <c r="I30" s="5">
        <f t="shared" si="5"/>
        <v>16</v>
      </c>
      <c r="J30" s="5">
        <f t="shared" si="6"/>
        <v>25.6</v>
      </c>
      <c r="K30" s="5">
        <f t="shared" si="7"/>
        <v>32</v>
      </c>
      <c r="L30" s="5">
        <f t="shared" si="8"/>
        <v>48</v>
      </c>
      <c r="M30" s="5">
        <f t="shared" si="9"/>
        <v>64</v>
      </c>
      <c r="N30" s="5">
        <f t="shared" si="10"/>
        <v>96</v>
      </c>
      <c r="O30" s="5">
        <f t="shared" si="11"/>
        <v>160</v>
      </c>
      <c r="P30" s="5">
        <f t="shared" si="12"/>
        <v>320</v>
      </c>
      <c r="Q30" s="28"/>
    </row>
    <row r="31" ht="20" customHeight="1" spans="1:17">
      <c r="A31" s="5"/>
      <c r="B31" s="5">
        <f t="shared" si="1"/>
        <v>12</v>
      </c>
      <c r="C31" s="5"/>
      <c r="D31" s="5" t="s">
        <v>21</v>
      </c>
      <c r="E31" s="5">
        <v>10.5</v>
      </c>
      <c r="F31" s="5">
        <f t="shared" si="2"/>
        <v>11.4285714285714</v>
      </c>
      <c r="G31" s="5">
        <f t="shared" si="3"/>
        <v>22.8571428571429</v>
      </c>
      <c r="H31" s="5">
        <f t="shared" si="4"/>
        <v>34.2857142857143</v>
      </c>
      <c r="I31" s="5">
        <f t="shared" si="5"/>
        <v>57.1428571428571</v>
      </c>
      <c r="J31" s="5">
        <f t="shared" si="6"/>
        <v>91.4285714285714</v>
      </c>
      <c r="K31" s="5">
        <f t="shared" si="7"/>
        <v>114.285714285714</v>
      </c>
      <c r="L31" s="5">
        <f t="shared" si="8"/>
        <v>171.428571428571</v>
      </c>
      <c r="M31" s="5">
        <f t="shared" si="9"/>
        <v>228.571428571429</v>
      </c>
      <c r="N31" s="5">
        <f t="shared" si="10"/>
        <v>342.857142857143</v>
      </c>
      <c r="O31" s="5">
        <f t="shared" si="11"/>
        <v>571.428571428571</v>
      </c>
      <c r="P31" s="5">
        <f t="shared" si="12"/>
        <v>1142.85714285714</v>
      </c>
      <c r="Q31" s="28"/>
    </row>
    <row r="32" ht="20" customHeight="1" spans="1:17">
      <c r="A32" s="5" t="s">
        <v>23</v>
      </c>
      <c r="B32" s="5">
        <f t="shared" si="1"/>
        <v>12</v>
      </c>
      <c r="C32" s="5" t="s">
        <v>12</v>
      </c>
      <c r="D32" s="5" t="s">
        <v>13</v>
      </c>
      <c r="E32" s="5">
        <v>19.5</v>
      </c>
      <c r="F32" s="5">
        <f t="shared" si="2"/>
        <v>6.15384615384615</v>
      </c>
      <c r="G32" s="5">
        <f t="shared" si="3"/>
        <v>12.3076923076923</v>
      </c>
      <c r="H32" s="5">
        <f t="shared" si="4"/>
        <v>18.4615384615385</v>
      </c>
      <c r="I32" s="5">
        <f t="shared" si="5"/>
        <v>30.7692307692308</v>
      </c>
      <c r="J32" s="5">
        <f t="shared" si="6"/>
        <v>49.2307692307692</v>
      </c>
      <c r="K32" s="5">
        <f t="shared" si="7"/>
        <v>61.5384615384615</v>
      </c>
      <c r="L32" s="5">
        <f t="shared" si="8"/>
        <v>92.3076923076923</v>
      </c>
      <c r="M32" s="5">
        <f t="shared" si="9"/>
        <v>123.076923076923</v>
      </c>
      <c r="N32" s="5">
        <f t="shared" si="10"/>
        <v>184.615384615385</v>
      </c>
      <c r="O32" s="5">
        <f t="shared" si="11"/>
        <v>307.692307692308</v>
      </c>
      <c r="P32" s="5">
        <f t="shared" si="12"/>
        <v>615.384615384615</v>
      </c>
      <c r="Q32" s="28"/>
    </row>
    <row r="33" ht="20" customHeight="1" spans="1:17">
      <c r="A33" s="5"/>
      <c r="B33" s="5">
        <f t="shared" si="1"/>
        <v>12</v>
      </c>
      <c r="C33" s="5"/>
      <c r="D33" s="5" t="s">
        <v>15</v>
      </c>
      <c r="E33" s="5">
        <v>35</v>
      </c>
      <c r="F33" s="5">
        <f t="shared" si="2"/>
        <v>3.42857142857143</v>
      </c>
      <c r="G33" s="5">
        <f t="shared" si="3"/>
        <v>6.85714285714286</v>
      </c>
      <c r="H33" s="5">
        <f t="shared" si="4"/>
        <v>10.2857142857143</v>
      </c>
      <c r="I33" s="5">
        <f t="shared" si="5"/>
        <v>17.1428571428571</v>
      </c>
      <c r="J33" s="5">
        <f t="shared" si="6"/>
        <v>27.4285714285714</v>
      </c>
      <c r="K33" s="5">
        <f t="shared" si="7"/>
        <v>34.2857142857143</v>
      </c>
      <c r="L33" s="5">
        <f t="shared" si="8"/>
        <v>51.4285714285714</v>
      </c>
      <c r="M33" s="5">
        <f t="shared" si="9"/>
        <v>68.5714285714286</v>
      </c>
      <c r="N33" s="5">
        <f t="shared" si="10"/>
        <v>102.857142857143</v>
      </c>
      <c r="O33" s="5">
        <f t="shared" si="11"/>
        <v>171.428571428571</v>
      </c>
      <c r="P33" s="5">
        <f t="shared" si="12"/>
        <v>342.857142857143</v>
      </c>
      <c r="Q33" s="28"/>
    </row>
    <row r="34" ht="20" customHeight="1" spans="1:17">
      <c r="A34" s="5"/>
      <c r="B34" s="5">
        <f t="shared" si="1"/>
        <v>12</v>
      </c>
      <c r="C34" s="5"/>
      <c r="D34" s="5" t="s">
        <v>16</v>
      </c>
      <c r="E34" s="5">
        <v>58</v>
      </c>
      <c r="F34" s="5">
        <f t="shared" si="2"/>
        <v>2.06896551724138</v>
      </c>
      <c r="G34" s="5">
        <f t="shared" si="3"/>
        <v>4.13793103448276</v>
      </c>
      <c r="H34" s="5">
        <f t="shared" si="4"/>
        <v>6.20689655172414</v>
      </c>
      <c r="I34" s="5">
        <f t="shared" si="5"/>
        <v>10.3448275862069</v>
      </c>
      <c r="J34" s="5">
        <f t="shared" si="6"/>
        <v>16.551724137931</v>
      </c>
      <c r="K34" s="5">
        <f t="shared" si="7"/>
        <v>20.6896551724138</v>
      </c>
      <c r="L34" s="5">
        <f t="shared" si="8"/>
        <v>31.0344827586207</v>
      </c>
      <c r="M34" s="5">
        <f t="shared" si="9"/>
        <v>41.3793103448276</v>
      </c>
      <c r="N34" s="5">
        <f t="shared" si="10"/>
        <v>62.0689655172414</v>
      </c>
      <c r="O34" s="5">
        <f t="shared" si="11"/>
        <v>103.448275862069</v>
      </c>
      <c r="P34" s="5">
        <f t="shared" si="12"/>
        <v>206.896551724138</v>
      </c>
      <c r="Q34" s="28"/>
    </row>
    <row r="35" ht="20" customHeight="1" spans="1:17">
      <c r="A35" s="5"/>
      <c r="B35" s="5">
        <f t="shared" si="1"/>
        <v>12</v>
      </c>
      <c r="C35" s="5"/>
      <c r="D35" s="5" t="s">
        <v>17</v>
      </c>
      <c r="E35" s="5">
        <v>133</v>
      </c>
      <c r="F35" s="5">
        <f t="shared" si="2"/>
        <v>0.902255639097744</v>
      </c>
      <c r="G35" s="5">
        <f t="shared" si="3"/>
        <v>1.80451127819549</v>
      </c>
      <c r="H35" s="5">
        <f t="shared" si="4"/>
        <v>2.70676691729323</v>
      </c>
      <c r="I35" s="5">
        <f t="shared" si="5"/>
        <v>4.51127819548872</v>
      </c>
      <c r="J35" s="5">
        <f t="shared" si="6"/>
        <v>7.21804511278195</v>
      </c>
      <c r="K35" s="5">
        <f t="shared" si="7"/>
        <v>9.02255639097744</v>
      </c>
      <c r="L35" s="5">
        <f t="shared" si="8"/>
        <v>13.5338345864662</v>
      </c>
      <c r="M35" s="5">
        <f t="shared" si="9"/>
        <v>18.0451127819549</v>
      </c>
      <c r="N35" s="5">
        <f t="shared" si="10"/>
        <v>27.0676691729323</v>
      </c>
      <c r="O35" s="5">
        <f t="shared" si="11"/>
        <v>45.1127819548872</v>
      </c>
      <c r="P35" s="5">
        <f t="shared" si="12"/>
        <v>90.2255639097744</v>
      </c>
      <c r="Q35" s="28"/>
    </row>
    <row r="36" ht="20" customHeight="1" spans="1:17">
      <c r="A36" s="5"/>
      <c r="B36" s="5">
        <f t="shared" si="1"/>
        <v>12</v>
      </c>
      <c r="C36" s="5"/>
      <c r="D36" s="5" t="s">
        <v>21</v>
      </c>
      <c r="E36" s="5">
        <v>35</v>
      </c>
      <c r="F36" s="5">
        <f t="shared" si="2"/>
        <v>3.42857142857143</v>
      </c>
      <c r="G36" s="5">
        <f t="shared" si="3"/>
        <v>6.85714285714286</v>
      </c>
      <c r="H36" s="5">
        <f t="shared" si="4"/>
        <v>10.2857142857143</v>
      </c>
      <c r="I36" s="5">
        <f t="shared" si="5"/>
        <v>17.1428571428571</v>
      </c>
      <c r="J36" s="5">
        <f t="shared" si="6"/>
        <v>27.4285714285714</v>
      </c>
      <c r="K36" s="5">
        <f t="shared" si="7"/>
        <v>34.2857142857143</v>
      </c>
      <c r="L36" s="5">
        <f t="shared" si="8"/>
        <v>51.4285714285714</v>
      </c>
      <c r="M36" s="5">
        <f t="shared" si="9"/>
        <v>68.5714285714286</v>
      </c>
      <c r="N36" s="5">
        <f t="shared" si="10"/>
        <v>102.857142857143</v>
      </c>
      <c r="O36" s="5">
        <f t="shared" si="11"/>
        <v>171.428571428571</v>
      </c>
      <c r="P36" s="5">
        <f t="shared" si="12"/>
        <v>342.857142857143</v>
      </c>
      <c r="Q36" s="28"/>
    </row>
    <row r="37" spans="1:17">
      <c r="A37" s="5" t="s">
        <v>24</v>
      </c>
      <c r="B37" s="5">
        <f t="shared" si="1"/>
        <v>12</v>
      </c>
      <c r="C37" s="5" t="s">
        <v>12</v>
      </c>
      <c r="D37" s="5" t="s">
        <v>13</v>
      </c>
      <c r="E37" s="5">
        <v>9.7</v>
      </c>
      <c r="F37" s="5">
        <f t="shared" si="2"/>
        <v>12.3711340206186</v>
      </c>
      <c r="G37" s="5">
        <f t="shared" si="3"/>
        <v>24.7422680412371</v>
      </c>
      <c r="H37" s="5">
        <f t="shared" si="4"/>
        <v>37.1134020618557</v>
      </c>
      <c r="I37" s="5">
        <f t="shared" si="5"/>
        <v>61.8556701030928</v>
      </c>
      <c r="J37" s="5">
        <f t="shared" si="6"/>
        <v>98.9690721649485</v>
      </c>
      <c r="K37" s="5">
        <f t="shared" si="7"/>
        <v>123.711340206186</v>
      </c>
      <c r="L37" s="5">
        <f t="shared" si="8"/>
        <v>185.567010309278</v>
      </c>
      <c r="M37" s="5">
        <f t="shared" si="9"/>
        <v>247.422680412371</v>
      </c>
      <c r="N37" s="5">
        <f t="shared" si="10"/>
        <v>371.134020618557</v>
      </c>
      <c r="O37" s="5">
        <f t="shared" si="11"/>
        <v>618.556701030928</v>
      </c>
      <c r="P37" s="5">
        <f t="shared" si="12"/>
        <v>1237.11340206186</v>
      </c>
      <c r="Q37" s="28"/>
    </row>
    <row r="38" spans="1:17">
      <c r="A38" s="5"/>
      <c r="B38" s="5">
        <f t="shared" si="1"/>
        <v>12</v>
      </c>
      <c r="C38" s="5"/>
      <c r="D38" s="5" t="s">
        <v>15</v>
      </c>
      <c r="E38" s="5">
        <v>17.6</v>
      </c>
      <c r="F38" s="5">
        <f t="shared" si="2"/>
        <v>6.81818181818182</v>
      </c>
      <c r="G38" s="5">
        <f t="shared" si="3"/>
        <v>13.6363636363636</v>
      </c>
      <c r="H38" s="5">
        <f t="shared" si="4"/>
        <v>20.4545454545455</v>
      </c>
      <c r="I38" s="5">
        <f t="shared" si="5"/>
        <v>34.0909090909091</v>
      </c>
      <c r="J38" s="5">
        <f t="shared" si="6"/>
        <v>54.5454545454545</v>
      </c>
      <c r="K38" s="5">
        <f t="shared" si="7"/>
        <v>68.1818181818182</v>
      </c>
      <c r="L38" s="5">
        <f t="shared" si="8"/>
        <v>102.272727272727</v>
      </c>
      <c r="M38" s="5">
        <f t="shared" si="9"/>
        <v>136.363636363636</v>
      </c>
      <c r="N38" s="5">
        <f t="shared" si="10"/>
        <v>204.545454545455</v>
      </c>
      <c r="O38" s="5">
        <f t="shared" si="11"/>
        <v>340.909090909091</v>
      </c>
      <c r="P38" s="5">
        <f t="shared" si="12"/>
        <v>681.818181818182</v>
      </c>
      <c r="Q38" s="28"/>
    </row>
    <row r="39" spans="1:17">
      <c r="A39" s="5"/>
      <c r="B39" s="5">
        <f t="shared" ref="B39:B65" si="13">B38</f>
        <v>12</v>
      </c>
      <c r="C39" s="5"/>
      <c r="D39" s="5" t="s">
        <v>16</v>
      </c>
      <c r="E39" s="5">
        <v>29</v>
      </c>
      <c r="F39" s="5">
        <f t="shared" ref="F39:F65" si="14">F$5*$B39*$C$1/$E39</f>
        <v>4.13793103448276</v>
      </c>
      <c r="G39" s="5">
        <f t="shared" ref="G39:G65" si="15">G$5*$B39*$C$1/$E39</f>
        <v>8.27586206896552</v>
      </c>
      <c r="H39" s="5">
        <f t="shared" ref="H39:H65" si="16">H$5*$B39*$C$1/$E39</f>
        <v>12.4137931034483</v>
      </c>
      <c r="I39" s="5">
        <f t="shared" ref="I39:I65" si="17">I$5*$B39*$C$1/$E39</f>
        <v>20.6896551724138</v>
      </c>
      <c r="J39" s="5">
        <f t="shared" ref="J39:J65" si="18">J$5*$B39*$C$1/$E39</f>
        <v>33.1034482758621</v>
      </c>
      <c r="K39" s="5">
        <f t="shared" ref="K39:K65" si="19">K$5*$B39*$C$1/$E39</f>
        <v>41.3793103448276</v>
      </c>
      <c r="L39" s="5">
        <f t="shared" ref="L39:L65" si="20">L$5*$B39*$C$1/$E39</f>
        <v>62.0689655172414</v>
      </c>
      <c r="M39" s="5">
        <f t="shared" ref="M39:M65" si="21">M$5*$B39*$C$1/$E39</f>
        <v>82.7586206896552</v>
      </c>
      <c r="N39" s="5">
        <f t="shared" ref="N39:N65" si="22">N$5*$B39*$C$1/$E39</f>
        <v>124.137931034483</v>
      </c>
      <c r="O39" s="5">
        <f t="shared" ref="O39:O65" si="23">O$5*$B39*$C$1/$E39</f>
        <v>206.896551724138</v>
      </c>
      <c r="P39" s="5">
        <f t="shared" ref="P39:P65" si="24">P$5*$B39*$C$1/$E39</f>
        <v>413.793103448276</v>
      </c>
      <c r="Q39" s="28"/>
    </row>
    <row r="40" spans="1:17">
      <c r="A40" s="5"/>
      <c r="B40" s="5">
        <f t="shared" si="13"/>
        <v>12</v>
      </c>
      <c r="C40" s="5"/>
      <c r="D40" s="5" t="s">
        <v>17</v>
      </c>
      <c r="E40" s="5">
        <v>63.5</v>
      </c>
      <c r="F40" s="5">
        <f t="shared" si="14"/>
        <v>1.88976377952756</v>
      </c>
      <c r="G40" s="5">
        <f t="shared" si="15"/>
        <v>3.77952755905512</v>
      </c>
      <c r="H40" s="5">
        <f t="shared" si="16"/>
        <v>5.66929133858268</v>
      </c>
      <c r="I40" s="5">
        <f t="shared" si="17"/>
        <v>9.44881889763779</v>
      </c>
      <c r="J40" s="5">
        <f t="shared" si="18"/>
        <v>15.1181102362205</v>
      </c>
      <c r="K40" s="5">
        <f t="shared" si="19"/>
        <v>18.8976377952756</v>
      </c>
      <c r="L40" s="5">
        <f t="shared" si="20"/>
        <v>28.3464566929134</v>
      </c>
      <c r="M40" s="5">
        <f t="shared" si="21"/>
        <v>37.7952755905512</v>
      </c>
      <c r="N40" s="5">
        <f t="shared" si="22"/>
        <v>56.6929133858268</v>
      </c>
      <c r="O40" s="5">
        <f t="shared" si="23"/>
        <v>94.488188976378</v>
      </c>
      <c r="P40" s="5">
        <f t="shared" si="24"/>
        <v>188.976377952756</v>
      </c>
      <c r="Q40" s="28"/>
    </row>
    <row r="41" spans="1:17">
      <c r="A41" s="5"/>
      <c r="B41" s="5">
        <f t="shared" si="13"/>
        <v>12</v>
      </c>
      <c r="C41" s="5"/>
      <c r="D41" s="5" t="s">
        <v>21</v>
      </c>
      <c r="E41" s="5">
        <v>17.6</v>
      </c>
      <c r="F41" s="5">
        <f t="shared" si="14"/>
        <v>6.81818181818182</v>
      </c>
      <c r="G41" s="5">
        <f t="shared" si="15"/>
        <v>13.6363636363636</v>
      </c>
      <c r="H41" s="5">
        <f t="shared" si="16"/>
        <v>20.4545454545455</v>
      </c>
      <c r="I41" s="5">
        <f t="shared" si="17"/>
        <v>34.0909090909091</v>
      </c>
      <c r="J41" s="5">
        <f t="shared" si="18"/>
        <v>54.5454545454545</v>
      </c>
      <c r="K41" s="5">
        <f t="shared" si="19"/>
        <v>68.1818181818182</v>
      </c>
      <c r="L41" s="5">
        <f t="shared" si="20"/>
        <v>102.272727272727</v>
      </c>
      <c r="M41" s="5">
        <f t="shared" si="21"/>
        <v>136.363636363636</v>
      </c>
      <c r="N41" s="5">
        <f t="shared" si="22"/>
        <v>204.545454545455</v>
      </c>
      <c r="O41" s="5">
        <f t="shared" si="23"/>
        <v>340.909090909091</v>
      </c>
      <c r="P41" s="5">
        <f t="shared" si="24"/>
        <v>681.818181818182</v>
      </c>
      <c r="Q41" s="28"/>
    </row>
    <row r="42" spans="1:17">
      <c r="A42" s="22" t="s">
        <v>25</v>
      </c>
      <c r="B42" s="5">
        <f t="shared" si="13"/>
        <v>12</v>
      </c>
      <c r="C42" s="5" t="s">
        <v>12</v>
      </c>
      <c r="D42" s="5" t="s">
        <v>13</v>
      </c>
      <c r="E42" s="5">
        <v>19.5</v>
      </c>
      <c r="F42" s="5">
        <f t="shared" si="14"/>
        <v>6.15384615384615</v>
      </c>
      <c r="G42" s="5">
        <f t="shared" si="15"/>
        <v>12.3076923076923</v>
      </c>
      <c r="H42" s="5">
        <f t="shared" si="16"/>
        <v>18.4615384615385</v>
      </c>
      <c r="I42" s="5">
        <f t="shared" si="17"/>
        <v>30.7692307692308</v>
      </c>
      <c r="J42" s="5">
        <f t="shared" si="18"/>
        <v>49.2307692307692</v>
      </c>
      <c r="K42" s="5">
        <f t="shared" si="19"/>
        <v>61.5384615384615</v>
      </c>
      <c r="L42" s="5">
        <f t="shared" si="20"/>
        <v>92.3076923076923</v>
      </c>
      <c r="M42" s="5">
        <f t="shared" si="21"/>
        <v>123.076923076923</v>
      </c>
      <c r="N42" s="5">
        <f t="shared" si="22"/>
        <v>184.615384615385</v>
      </c>
      <c r="O42" s="5">
        <f t="shared" si="23"/>
        <v>307.692307692308</v>
      </c>
      <c r="P42" s="5">
        <f t="shared" si="24"/>
        <v>615.384615384615</v>
      </c>
      <c r="Q42" s="28"/>
    </row>
    <row r="43" spans="1:17">
      <c r="A43" s="23"/>
      <c r="B43" s="5">
        <f t="shared" si="13"/>
        <v>12</v>
      </c>
      <c r="C43" s="5"/>
      <c r="D43" s="5" t="s">
        <v>15</v>
      </c>
      <c r="E43" s="5">
        <v>35</v>
      </c>
      <c r="F43" s="5">
        <f t="shared" si="14"/>
        <v>3.42857142857143</v>
      </c>
      <c r="G43" s="5">
        <f t="shared" si="15"/>
        <v>6.85714285714286</v>
      </c>
      <c r="H43" s="5">
        <f t="shared" si="16"/>
        <v>10.2857142857143</v>
      </c>
      <c r="I43" s="5">
        <f t="shared" si="17"/>
        <v>17.1428571428571</v>
      </c>
      <c r="J43" s="5">
        <f t="shared" si="18"/>
        <v>27.4285714285714</v>
      </c>
      <c r="K43" s="5">
        <f t="shared" si="19"/>
        <v>34.2857142857143</v>
      </c>
      <c r="L43" s="5">
        <f t="shared" si="20"/>
        <v>51.4285714285714</v>
      </c>
      <c r="M43" s="5">
        <f t="shared" si="21"/>
        <v>68.5714285714286</v>
      </c>
      <c r="N43" s="5">
        <f t="shared" si="22"/>
        <v>102.857142857143</v>
      </c>
      <c r="O43" s="5">
        <f t="shared" si="23"/>
        <v>171.428571428571</v>
      </c>
      <c r="P43" s="5">
        <f t="shared" si="24"/>
        <v>342.857142857143</v>
      </c>
      <c r="Q43" s="28"/>
    </row>
    <row r="44" spans="1:17">
      <c r="A44" s="23"/>
      <c r="B44" s="5">
        <f t="shared" si="13"/>
        <v>12</v>
      </c>
      <c r="C44" s="5"/>
      <c r="D44" s="5" t="s">
        <v>16</v>
      </c>
      <c r="E44" s="5">
        <v>58</v>
      </c>
      <c r="F44" s="5">
        <f t="shared" si="14"/>
        <v>2.06896551724138</v>
      </c>
      <c r="G44" s="5">
        <f t="shared" si="15"/>
        <v>4.13793103448276</v>
      </c>
      <c r="H44" s="5">
        <f t="shared" si="16"/>
        <v>6.20689655172414</v>
      </c>
      <c r="I44" s="5">
        <f t="shared" si="17"/>
        <v>10.3448275862069</v>
      </c>
      <c r="J44" s="5">
        <f t="shared" si="18"/>
        <v>16.551724137931</v>
      </c>
      <c r="K44" s="5">
        <f t="shared" si="19"/>
        <v>20.6896551724138</v>
      </c>
      <c r="L44" s="5">
        <f t="shared" si="20"/>
        <v>31.0344827586207</v>
      </c>
      <c r="M44" s="5">
        <f t="shared" si="21"/>
        <v>41.3793103448276</v>
      </c>
      <c r="N44" s="5">
        <f t="shared" si="22"/>
        <v>62.0689655172414</v>
      </c>
      <c r="O44" s="5">
        <f t="shared" si="23"/>
        <v>103.448275862069</v>
      </c>
      <c r="P44" s="5">
        <f t="shared" si="24"/>
        <v>206.896551724138</v>
      </c>
      <c r="Q44" s="28"/>
    </row>
    <row r="45" spans="1:17">
      <c r="A45" s="23"/>
      <c r="B45" s="5">
        <f t="shared" si="13"/>
        <v>12</v>
      </c>
      <c r="C45" s="5"/>
      <c r="D45" s="5" t="s">
        <v>17</v>
      </c>
      <c r="E45" s="5">
        <v>133</v>
      </c>
      <c r="F45" s="5">
        <f t="shared" si="14"/>
        <v>0.902255639097744</v>
      </c>
      <c r="G45" s="5">
        <f t="shared" si="15"/>
        <v>1.80451127819549</v>
      </c>
      <c r="H45" s="5">
        <f t="shared" si="16"/>
        <v>2.70676691729323</v>
      </c>
      <c r="I45" s="5">
        <f t="shared" si="17"/>
        <v>4.51127819548872</v>
      </c>
      <c r="J45" s="5">
        <f t="shared" si="18"/>
        <v>7.21804511278195</v>
      </c>
      <c r="K45" s="5">
        <f t="shared" si="19"/>
        <v>9.02255639097744</v>
      </c>
      <c r="L45" s="5">
        <f t="shared" si="20"/>
        <v>13.5338345864662</v>
      </c>
      <c r="M45" s="5">
        <f t="shared" si="21"/>
        <v>18.0451127819549</v>
      </c>
      <c r="N45" s="5">
        <f t="shared" si="22"/>
        <v>27.0676691729323</v>
      </c>
      <c r="O45" s="5">
        <f t="shared" si="23"/>
        <v>45.1127819548872</v>
      </c>
      <c r="P45" s="5">
        <f t="shared" si="24"/>
        <v>90.2255639097744</v>
      </c>
      <c r="Q45" s="28"/>
    </row>
    <row r="46" spans="1:17">
      <c r="A46" s="23"/>
      <c r="B46" s="5">
        <f t="shared" si="13"/>
        <v>12</v>
      </c>
      <c r="C46" s="5"/>
      <c r="D46" s="5" t="s">
        <v>21</v>
      </c>
      <c r="E46" s="5">
        <v>35</v>
      </c>
      <c r="F46" s="5">
        <f t="shared" si="14"/>
        <v>3.42857142857143</v>
      </c>
      <c r="G46" s="5">
        <f t="shared" si="15"/>
        <v>6.85714285714286</v>
      </c>
      <c r="H46" s="5">
        <f t="shared" si="16"/>
        <v>10.2857142857143</v>
      </c>
      <c r="I46" s="5">
        <f t="shared" si="17"/>
        <v>17.1428571428571</v>
      </c>
      <c r="J46" s="5">
        <f t="shared" si="18"/>
        <v>27.4285714285714</v>
      </c>
      <c r="K46" s="5">
        <f t="shared" si="19"/>
        <v>34.2857142857143</v>
      </c>
      <c r="L46" s="5">
        <f t="shared" si="20"/>
        <v>51.4285714285714</v>
      </c>
      <c r="M46" s="5">
        <f t="shared" si="21"/>
        <v>68.5714285714286</v>
      </c>
      <c r="N46" s="5">
        <f t="shared" si="22"/>
        <v>102.857142857143</v>
      </c>
      <c r="O46" s="5">
        <f t="shared" si="23"/>
        <v>171.428571428571</v>
      </c>
      <c r="P46" s="5">
        <f t="shared" si="24"/>
        <v>342.857142857143</v>
      </c>
      <c r="Q46" s="28"/>
    </row>
    <row r="47" spans="1:17">
      <c r="A47" s="23"/>
      <c r="B47" s="5">
        <f t="shared" si="13"/>
        <v>12</v>
      </c>
      <c r="C47" s="5" t="s">
        <v>18</v>
      </c>
      <c r="D47" s="5" t="s">
        <v>15</v>
      </c>
      <c r="E47" s="5">
        <v>35</v>
      </c>
      <c r="F47" s="5">
        <f t="shared" si="14"/>
        <v>3.42857142857143</v>
      </c>
      <c r="G47" s="5">
        <f t="shared" si="15"/>
        <v>6.85714285714286</v>
      </c>
      <c r="H47" s="5">
        <f t="shared" si="16"/>
        <v>10.2857142857143</v>
      </c>
      <c r="I47" s="5">
        <f t="shared" si="17"/>
        <v>17.1428571428571</v>
      </c>
      <c r="J47" s="5">
        <f t="shared" si="18"/>
        <v>27.4285714285714</v>
      </c>
      <c r="K47" s="5">
        <f t="shared" si="19"/>
        <v>34.2857142857143</v>
      </c>
      <c r="L47" s="5">
        <f t="shared" si="20"/>
        <v>51.4285714285714</v>
      </c>
      <c r="M47" s="5">
        <f t="shared" si="21"/>
        <v>68.5714285714286</v>
      </c>
      <c r="N47" s="5">
        <f t="shared" si="22"/>
        <v>102.857142857143</v>
      </c>
      <c r="O47" s="5">
        <f t="shared" si="23"/>
        <v>171.428571428571</v>
      </c>
      <c r="P47" s="5">
        <f t="shared" si="24"/>
        <v>342.857142857143</v>
      </c>
      <c r="Q47" s="28"/>
    </row>
    <row r="48" spans="1:17">
      <c r="A48" s="23"/>
      <c r="B48" s="5">
        <f t="shared" si="13"/>
        <v>12</v>
      </c>
      <c r="C48" s="5"/>
      <c r="D48" s="5" t="s">
        <v>16</v>
      </c>
      <c r="E48" s="5">
        <v>58</v>
      </c>
      <c r="F48" s="5">
        <f t="shared" si="14"/>
        <v>2.06896551724138</v>
      </c>
      <c r="G48" s="5">
        <f t="shared" si="15"/>
        <v>4.13793103448276</v>
      </c>
      <c r="H48" s="5">
        <f t="shared" si="16"/>
        <v>6.20689655172414</v>
      </c>
      <c r="I48" s="5">
        <f t="shared" si="17"/>
        <v>10.3448275862069</v>
      </c>
      <c r="J48" s="5">
        <f t="shared" si="18"/>
        <v>16.551724137931</v>
      </c>
      <c r="K48" s="5">
        <f t="shared" si="19"/>
        <v>20.6896551724138</v>
      </c>
      <c r="L48" s="5">
        <f t="shared" si="20"/>
        <v>31.0344827586207</v>
      </c>
      <c r="M48" s="5">
        <f t="shared" si="21"/>
        <v>41.3793103448276</v>
      </c>
      <c r="N48" s="5">
        <f t="shared" si="22"/>
        <v>62.0689655172414</v>
      </c>
      <c r="O48" s="5">
        <f t="shared" si="23"/>
        <v>103.448275862069</v>
      </c>
      <c r="P48" s="5">
        <f t="shared" si="24"/>
        <v>206.896551724138</v>
      </c>
      <c r="Q48" s="28"/>
    </row>
    <row r="49" spans="1:17">
      <c r="A49" s="23"/>
      <c r="B49" s="5">
        <f t="shared" si="13"/>
        <v>12</v>
      </c>
      <c r="C49" s="5" t="s">
        <v>18</v>
      </c>
      <c r="D49" s="5" t="s">
        <v>15</v>
      </c>
      <c r="E49" s="5">
        <v>34</v>
      </c>
      <c r="F49" s="5">
        <f t="shared" si="14"/>
        <v>3.52941176470588</v>
      </c>
      <c r="G49" s="5">
        <f t="shared" si="15"/>
        <v>7.05882352941176</v>
      </c>
      <c r="H49" s="5">
        <f t="shared" si="16"/>
        <v>10.5882352941176</v>
      </c>
      <c r="I49" s="5">
        <f t="shared" si="17"/>
        <v>17.6470588235294</v>
      </c>
      <c r="J49" s="5">
        <f t="shared" si="18"/>
        <v>28.2352941176471</v>
      </c>
      <c r="K49" s="5">
        <f t="shared" si="19"/>
        <v>35.2941176470588</v>
      </c>
      <c r="L49" s="5">
        <f t="shared" si="20"/>
        <v>52.9411764705882</v>
      </c>
      <c r="M49" s="5">
        <f t="shared" si="21"/>
        <v>70.5882352941177</v>
      </c>
      <c r="N49" s="5">
        <f t="shared" si="22"/>
        <v>105.882352941176</v>
      </c>
      <c r="O49" s="5">
        <f t="shared" si="23"/>
        <v>176.470588235294</v>
      </c>
      <c r="P49" s="5">
        <f t="shared" si="24"/>
        <v>352.941176470588</v>
      </c>
      <c r="Q49" s="28"/>
    </row>
    <row r="50" spans="1:17">
      <c r="A50" s="24"/>
      <c r="B50" s="5">
        <f t="shared" si="13"/>
        <v>12</v>
      </c>
      <c r="C50" s="5"/>
      <c r="D50" s="5" t="s">
        <v>13</v>
      </c>
      <c r="E50" s="5">
        <v>20</v>
      </c>
      <c r="F50" s="5">
        <f t="shared" si="14"/>
        <v>6</v>
      </c>
      <c r="G50" s="5">
        <f t="shared" si="15"/>
        <v>12</v>
      </c>
      <c r="H50" s="5">
        <f t="shared" si="16"/>
        <v>18</v>
      </c>
      <c r="I50" s="5">
        <f t="shared" si="17"/>
        <v>30</v>
      </c>
      <c r="J50" s="5">
        <f t="shared" si="18"/>
        <v>48</v>
      </c>
      <c r="K50" s="5">
        <f t="shared" si="19"/>
        <v>60</v>
      </c>
      <c r="L50" s="5">
        <f t="shared" si="20"/>
        <v>90</v>
      </c>
      <c r="M50" s="5">
        <f t="shared" si="21"/>
        <v>120</v>
      </c>
      <c r="N50" s="5">
        <f t="shared" si="22"/>
        <v>180</v>
      </c>
      <c r="O50" s="5">
        <f t="shared" si="23"/>
        <v>300</v>
      </c>
      <c r="P50" s="5">
        <f t="shared" si="24"/>
        <v>600</v>
      </c>
      <c r="Q50" s="28"/>
    </row>
    <row r="51" spans="1:17">
      <c r="A51" s="22" t="s">
        <v>26</v>
      </c>
      <c r="B51" s="5">
        <f t="shared" si="13"/>
        <v>12</v>
      </c>
      <c r="C51" s="5" t="s">
        <v>12</v>
      </c>
      <c r="D51" s="5" t="s">
        <v>13</v>
      </c>
      <c r="E51" s="5">
        <v>9.7</v>
      </c>
      <c r="F51" s="5">
        <f t="shared" si="14"/>
        <v>12.3711340206186</v>
      </c>
      <c r="G51" s="5">
        <f t="shared" si="15"/>
        <v>24.7422680412371</v>
      </c>
      <c r="H51" s="5">
        <f t="shared" si="16"/>
        <v>37.1134020618557</v>
      </c>
      <c r="I51" s="5">
        <f t="shared" si="17"/>
        <v>61.8556701030928</v>
      </c>
      <c r="J51" s="5">
        <f t="shared" si="18"/>
        <v>98.9690721649485</v>
      </c>
      <c r="K51" s="5">
        <f t="shared" si="19"/>
        <v>123.711340206186</v>
      </c>
      <c r="L51" s="5">
        <f t="shared" si="20"/>
        <v>185.567010309278</v>
      </c>
      <c r="M51" s="5">
        <f t="shared" si="21"/>
        <v>247.422680412371</v>
      </c>
      <c r="N51" s="5">
        <f t="shared" si="22"/>
        <v>371.134020618557</v>
      </c>
      <c r="O51" s="5">
        <f t="shared" si="23"/>
        <v>618.556701030928</v>
      </c>
      <c r="P51" s="5">
        <f t="shared" si="24"/>
        <v>1237.11340206186</v>
      </c>
      <c r="Q51" s="28"/>
    </row>
    <row r="52" spans="1:17">
      <c r="A52" s="23"/>
      <c r="B52" s="5">
        <f t="shared" si="13"/>
        <v>12</v>
      </c>
      <c r="C52" s="5"/>
      <c r="D52" s="5" t="s">
        <v>15</v>
      </c>
      <c r="E52" s="5">
        <v>17.6</v>
      </c>
      <c r="F52" s="5">
        <f t="shared" si="14"/>
        <v>6.81818181818182</v>
      </c>
      <c r="G52" s="5">
        <f t="shared" si="15"/>
        <v>13.6363636363636</v>
      </c>
      <c r="H52" s="5">
        <f t="shared" si="16"/>
        <v>20.4545454545455</v>
      </c>
      <c r="I52" s="5">
        <f t="shared" si="17"/>
        <v>34.0909090909091</v>
      </c>
      <c r="J52" s="5">
        <f t="shared" si="18"/>
        <v>54.5454545454545</v>
      </c>
      <c r="K52" s="5">
        <f t="shared" si="19"/>
        <v>68.1818181818182</v>
      </c>
      <c r="L52" s="5">
        <f t="shared" si="20"/>
        <v>102.272727272727</v>
      </c>
      <c r="M52" s="5">
        <f t="shared" si="21"/>
        <v>136.363636363636</v>
      </c>
      <c r="N52" s="5">
        <f t="shared" si="22"/>
        <v>204.545454545455</v>
      </c>
      <c r="O52" s="5">
        <f t="shared" si="23"/>
        <v>340.909090909091</v>
      </c>
      <c r="P52" s="5">
        <f t="shared" si="24"/>
        <v>681.818181818182</v>
      </c>
      <c r="Q52" s="28"/>
    </row>
    <row r="53" spans="1:17">
      <c r="A53" s="23"/>
      <c r="B53" s="5">
        <f t="shared" si="13"/>
        <v>12</v>
      </c>
      <c r="C53" s="5"/>
      <c r="D53" s="5" t="s">
        <v>16</v>
      </c>
      <c r="E53" s="5">
        <v>29</v>
      </c>
      <c r="F53" s="5">
        <f t="shared" si="14"/>
        <v>4.13793103448276</v>
      </c>
      <c r="G53" s="5">
        <f t="shared" si="15"/>
        <v>8.27586206896552</v>
      </c>
      <c r="H53" s="5">
        <f t="shared" si="16"/>
        <v>12.4137931034483</v>
      </c>
      <c r="I53" s="5">
        <f t="shared" si="17"/>
        <v>20.6896551724138</v>
      </c>
      <c r="J53" s="5">
        <f t="shared" si="18"/>
        <v>33.1034482758621</v>
      </c>
      <c r="K53" s="5">
        <f t="shared" si="19"/>
        <v>41.3793103448276</v>
      </c>
      <c r="L53" s="5">
        <f t="shared" si="20"/>
        <v>62.0689655172414</v>
      </c>
      <c r="M53" s="5">
        <f t="shared" si="21"/>
        <v>82.7586206896552</v>
      </c>
      <c r="N53" s="5">
        <f t="shared" si="22"/>
        <v>124.137931034483</v>
      </c>
      <c r="O53" s="5">
        <f t="shared" si="23"/>
        <v>206.896551724138</v>
      </c>
      <c r="P53" s="5">
        <f t="shared" si="24"/>
        <v>413.793103448276</v>
      </c>
      <c r="Q53" s="28"/>
    </row>
    <row r="54" spans="1:17">
      <c r="A54" s="23"/>
      <c r="B54" s="5">
        <f t="shared" si="13"/>
        <v>12</v>
      </c>
      <c r="C54" s="5"/>
      <c r="D54" s="5" t="s">
        <v>17</v>
      </c>
      <c r="E54" s="5">
        <v>63.5</v>
      </c>
      <c r="F54" s="5">
        <f t="shared" si="14"/>
        <v>1.88976377952756</v>
      </c>
      <c r="G54" s="5">
        <f t="shared" si="15"/>
        <v>3.77952755905512</v>
      </c>
      <c r="H54" s="5">
        <f t="shared" si="16"/>
        <v>5.66929133858268</v>
      </c>
      <c r="I54" s="5">
        <f t="shared" si="17"/>
        <v>9.44881889763779</v>
      </c>
      <c r="J54" s="5">
        <f t="shared" si="18"/>
        <v>15.1181102362205</v>
      </c>
      <c r="K54" s="5">
        <f t="shared" si="19"/>
        <v>18.8976377952756</v>
      </c>
      <c r="L54" s="5">
        <f t="shared" si="20"/>
        <v>28.3464566929134</v>
      </c>
      <c r="M54" s="5">
        <f t="shared" si="21"/>
        <v>37.7952755905512</v>
      </c>
      <c r="N54" s="5">
        <f t="shared" si="22"/>
        <v>56.6929133858268</v>
      </c>
      <c r="O54" s="5">
        <f t="shared" si="23"/>
        <v>94.488188976378</v>
      </c>
      <c r="P54" s="5">
        <f t="shared" si="24"/>
        <v>188.976377952756</v>
      </c>
      <c r="Q54" s="28"/>
    </row>
    <row r="55" spans="1:17">
      <c r="A55" s="23"/>
      <c r="B55" s="5">
        <f t="shared" si="13"/>
        <v>12</v>
      </c>
      <c r="C55" s="5"/>
      <c r="D55" s="5" t="s">
        <v>21</v>
      </c>
      <c r="E55" s="5">
        <v>17.6</v>
      </c>
      <c r="F55" s="5">
        <f t="shared" si="14"/>
        <v>6.81818181818182</v>
      </c>
      <c r="G55" s="5">
        <f t="shared" si="15"/>
        <v>13.6363636363636</v>
      </c>
      <c r="H55" s="5">
        <f t="shared" si="16"/>
        <v>20.4545454545455</v>
      </c>
      <c r="I55" s="5">
        <f t="shared" si="17"/>
        <v>34.0909090909091</v>
      </c>
      <c r="J55" s="5">
        <f t="shared" si="18"/>
        <v>54.5454545454545</v>
      </c>
      <c r="K55" s="5">
        <f t="shared" si="19"/>
        <v>68.1818181818182</v>
      </c>
      <c r="L55" s="5">
        <f t="shared" si="20"/>
        <v>102.272727272727</v>
      </c>
      <c r="M55" s="5">
        <f t="shared" si="21"/>
        <v>136.363636363636</v>
      </c>
      <c r="N55" s="5">
        <f t="shared" si="22"/>
        <v>204.545454545455</v>
      </c>
      <c r="O55" s="5">
        <f t="shared" si="23"/>
        <v>340.909090909091</v>
      </c>
      <c r="P55" s="5">
        <f t="shared" si="24"/>
        <v>681.818181818182</v>
      </c>
      <c r="Q55" s="28"/>
    </row>
    <row r="56" spans="1:17">
      <c r="A56" s="23"/>
      <c r="B56" s="5">
        <f t="shared" si="13"/>
        <v>12</v>
      </c>
      <c r="C56" s="5" t="s">
        <v>18</v>
      </c>
      <c r="D56" s="5" t="s">
        <v>15</v>
      </c>
      <c r="E56" s="5">
        <v>18</v>
      </c>
      <c r="F56" s="5">
        <f t="shared" si="14"/>
        <v>6.66666666666667</v>
      </c>
      <c r="G56" s="5">
        <f t="shared" si="15"/>
        <v>13.3333333333333</v>
      </c>
      <c r="H56" s="5">
        <f t="shared" si="16"/>
        <v>20</v>
      </c>
      <c r="I56" s="5">
        <f t="shared" si="17"/>
        <v>33.3333333333333</v>
      </c>
      <c r="J56" s="5">
        <f t="shared" si="18"/>
        <v>53.3333333333333</v>
      </c>
      <c r="K56" s="5">
        <f t="shared" si="19"/>
        <v>66.6666666666667</v>
      </c>
      <c r="L56" s="5">
        <f t="shared" si="20"/>
        <v>100</v>
      </c>
      <c r="M56" s="5">
        <f t="shared" si="21"/>
        <v>133.333333333333</v>
      </c>
      <c r="N56" s="5">
        <f t="shared" si="22"/>
        <v>200</v>
      </c>
      <c r="O56" s="5">
        <f t="shared" si="23"/>
        <v>333.333333333333</v>
      </c>
      <c r="P56" s="5">
        <f t="shared" si="24"/>
        <v>666.666666666667</v>
      </c>
      <c r="Q56" s="28"/>
    </row>
    <row r="57" spans="1:17">
      <c r="A57" s="23"/>
      <c r="B57" s="5">
        <f t="shared" si="13"/>
        <v>12</v>
      </c>
      <c r="C57" s="5"/>
      <c r="D57" s="5" t="s">
        <v>16</v>
      </c>
      <c r="E57" s="5">
        <v>29</v>
      </c>
      <c r="F57" s="5">
        <f t="shared" si="14"/>
        <v>4.13793103448276</v>
      </c>
      <c r="G57" s="5">
        <f t="shared" si="15"/>
        <v>8.27586206896552</v>
      </c>
      <c r="H57" s="5">
        <f t="shared" si="16"/>
        <v>12.4137931034483</v>
      </c>
      <c r="I57" s="5">
        <f t="shared" si="17"/>
        <v>20.6896551724138</v>
      </c>
      <c r="J57" s="5">
        <f t="shared" si="18"/>
        <v>33.1034482758621</v>
      </c>
      <c r="K57" s="5">
        <f t="shared" si="19"/>
        <v>41.3793103448276</v>
      </c>
      <c r="L57" s="5">
        <f t="shared" si="20"/>
        <v>62.0689655172414</v>
      </c>
      <c r="M57" s="5">
        <f t="shared" si="21"/>
        <v>82.7586206896552</v>
      </c>
      <c r="N57" s="5">
        <f t="shared" si="22"/>
        <v>124.137931034483</v>
      </c>
      <c r="O57" s="5">
        <f t="shared" si="23"/>
        <v>206.896551724138</v>
      </c>
      <c r="P57" s="5">
        <f t="shared" si="24"/>
        <v>413.793103448276</v>
      </c>
      <c r="Q57" s="28"/>
    </row>
    <row r="58" spans="1:17">
      <c r="A58" s="23"/>
      <c r="B58" s="5">
        <f t="shared" si="13"/>
        <v>12</v>
      </c>
      <c r="C58" s="5" t="s">
        <v>18</v>
      </c>
      <c r="D58" s="5" t="s">
        <v>15</v>
      </c>
      <c r="E58" s="5">
        <v>17.5</v>
      </c>
      <c r="F58" s="5">
        <f t="shared" si="14"/>
        <v>6.85714285714286</v>
      </c>
      <c r="G58" s="5">
        <f t="shared" si="15"/>
        <v>13.7142857142857</v>
      </c>
      <c r="H58" s="5">
        <f t="shared" si="16"/>
        <v>20.5714285714286</v>
      </c>
      <c r="I58" s="5">
        <f t="shared" si="17"/>
        <v>34.2857142857143</v>
      </c>
      <c r="J58" s="5">
        <f t="shared" si="18"/>
        <v>54.8571428571429</v>
      </c>
      <c r="K58" s="5">
        <f t="shared" si="19"/>
        <v>68.5714285714286</v>
      </c>
      <c r="L58" s="5">
        <f t="shared" si="20"/>
        <v>102.857142857143</v>
      </c>
      <c r="M58" s="5">
        <f t="shared" si="21"/>
        <v>137.142857142857</v>
      </c>
      <c r="N58" s="5">
        <f t="shared" si="22"/>
        <v>205.714285714286</v>
      </c>
      <c r="O58" s="5">
        <f t="shared" si="23"/>
        <v>342.857142857143</v>
      </c>
      <c r="P58" s="5">
        <f t="shared" si="24"/>
        <v>685.714285714286</v>
      </c>
      <c r="Q58" s="28"/>
    </row>
    <row r="59" spans="1:17">
      <c r="A59" s="24"/>
      <c r="B59" s="5">
        <f t="shared" si="13"/>
        <v>12</v>
      </c>
      <c r="C59" s="5"/>
      <c r="D59" s="5" t="s">
        <v>13</v>
      </c>
      <c r="E59" s="5">
        <v>10.1</v>
      </c>
      <c r="F59" s="5">
        <f t="shared" si="14"/>
        <v>11.8811881188119</v>
      </c>
      <c r="G59" s="5">
        <f t="shared" si="15"/>
        <v>23.7623762376238</v>
      </c>
      <c r="H59" s="5">
        <f t="shared" si="16"/>
        <v>35.6435643564356</v>
      </c>
      <c r="I59" s="5">
        <f t="shared" si="17"/>
        <v>59.4059405940594</v>
      </c>
      <c r="J59" s="5">
        <f t="shared" si="18"/>
        <v>95.049504950495</v>
      </c>
      <c r="K59" s="5">
        <f t="shared" si="19"/>
        <v>118.811881188119</v>
      </c>
      <c r="L59" s="5">
        <f t="shared" si="20"/>
        <v>178.217821782178</v>
      </c>
      <c r="M59" s="5">
        <f t="shared" si="21"/>
        <v>237.623762376238</v>
      </c>
      <c r="N59" s="5">
        <f t="shared" si="22"/>
        <v>356.435643564356</v>
      </c>
      <c r="O59" s="5">
        <f t="shared" si="23"/>
        <v>594.059405940594</v>
      </c>
      <c r="P59" s="5">
        <f t="shared" si="24"/>
        <v>1188.11881188119</v>
      </c>
      <c r="Q59" s="28"/>
    </row>
    <row r="60" spans="1:17">
      <c r="A60" s="5" t="s">
        <v>27</v>
      </c>
      <c r="B60" s="5">
        <f t="shared" si="13"/>
        <v>12</v>
      </c>
      <c r="C60" s="5" t="s">
        <v>28</v>
      </c>
      <c r="D60" s="5" t="s">
        <v>13</v>
      </c>
      <c r="E60" s="5">
        <v>10</v>
      </c>
      <c r="F60" s="5">
        <f t="shared" si="14"/>
        <v>12</v>
      </c>
      <c r="G60" s="5">
        <f t="shared" si="15"/>
        <v>24</v>
      </c>
      <c r="H60" s="5">
        <f t="shared" si="16"/>
        <v>36</v>
      </c>
      <c r="I60" s="5">
        <f t="shared" si="17"/>
        <v>60</v>
      </c>
      <c r="J60" s="5">
        <f t="shared" si="18"/>
        <v>96</v>
      </c>
      <c r="K60" s="5">
        <f t="shared" si="19"/>
        <v>120</v>
      </c>
      <c r="L60" s="5">
        <f t="shared" si="20"/>
        <v>180</v>
      </c>
      <c r="M60" s="5">
        <f t="shared" si="21"/>
        <v>240</v>
      </c>
      <c r="N60" s="5">
        <f t="shared" si="22"/>
        <v>360</v>
      </c>
      <c r="O60" s="5">
        <f t="shared" si="23"/>
        <v>600</v>
      </c>
      <c r="P60" s="5">
        <f t="shared" si="24"/>
        <v>1200</v>
      </c>
      <c r="Q60" s="28"/>
    </row>
    <row r="61" spans="1:17">
      <c r="A61" s="5"/>
      <c r="B61" s="5">
        <f t="shared" si="13"/>
        <v>12</v>
      </c>
      <c r="C61" s="5"/>
      <c r="D61" s="5" t="s">
        <v>15</v>
      </c>
      <c r="E61" s="5">
        <v>17.7</v>
      </c>
      <c r="F61" s="5">
        <f t="shared" si="14"/>
        <v>6.77966101694915</v>
      </c>
      <c r="G61" s="5">
        <f t="shared" si="15"/>
        <v>13.5593220338983</v>
      </c>
      <c r="H61" s="5">
        <f t="shared" si="16"/>
        <v>20.3389830508475</v>
      </c>
      <c r="I61" s="5">
        <f t="shared" si="17"/>
        <v>33.8983050847458</v>
      </c>
      <c r="J61" s="5">
        <f t="shared" si="18"/>
        <v>54.2372881355932</v>
      </c>
      <c r="K61" s="5">
        <f t="shared" si="19"/>
        <v>67.7966101694915</v>
      </c>
      <c r="L61" s="5">
        <f t="shared" si="20"/>
        <v>101.694915254237</v>
      </c>
      <c r="M61" s="5">
        <f t="shared" si="21"/>
        <v>135.593220338983</v>
      </c>
      <c r="N61" s="5">
        <f t="shared" si="22"/>
        <v>203.389830508475</v>
      </c>
      <c r="O61" s="5">
        <f t="shared" si="23"/>
        <v>338.983050847458</v>
      </c>
      <c r="P61" s="5">
        <f t="shared" si="24"/>
        <v>677.966101694915</v>
      </c>
      <c r="Q61" s="28"/>
    </row>
    <row r="62" spans="1:17">
      <c r="A62" s="5"/>
      <c r="B62" s="5">
        <f t="shared" si="13"/>
        <v>12</v>
      </c>
      <c r="C62" s="5"/>
      <c r="D62" s="5" t="s">
        <v>16</v>
      </c>
      <c r="E62" s="5">
        <v>29</v>
      </c>
      <c r="F62" s="5">
        <f t="shared" si="14"/>
        <v>4.13793103448276</v>
      </c>
      <c r="G62" s="5">
        <f t="shared" si="15"/>
        <v>8.27586206896552</v>
      </c>
      <c r="H62" s="5">
        <f t="shared" si="16"/>
        <v>12.4137931034483</v>
      </c>
      <c r="I62" s="5">
        <f t="shared" si="17"/>
        <v>20.6896551724138</v>
      </c>
      <c r="J62" s="5">
        <f t="shared" si="18"/>
        <v>33.1034482758621</v>
      </c>
      <c r="K62" s="5">
        <f t="shared" si="19"/>
        <v>41.3793103448276</v>
      </c>
      <c r="L62" s="5">
        <f t="shared" si="20"/>
        <v>62.0689655172414</v>
      </c>
      <c r="M62" s="5">
        <f t="shared" si="21"/>
        <v>82.7586206896552</v>
      </c>
      <c r="N62" s="5">
        <f t="shared" si="22"/>
        <v>124.137931034483</v>
      </c>
      <c r="O62" s="5">
        <f t="shared" si="23"/>
        <v>206.896551724138</v>
      </c>
      <c r="P62" s="5">
        <f t="shared" si="24"/>
        <v>413.793103448276</v>
      </c>
      <c r="Q62" s="28"/>
    </row>
    <row r="63" spans="1:17">
      <c r="A63" s="5"/>
      <c r="B63" s="5">
        <f t="shared" si="13"/>
        <v>12</v>
      </c>
      <c r="C63" s="5"/>
      <c r="D63" s="5" t="s">
        <v>17</v>
      </c>
      <c r="E63" s="5">
        <v>62.9</v>
      </c>
      <c r="F63" s="5">
        <f t="shared" si="14"/>
        <v>1.90779014308426</v>
      </c>
      <c r="G63" s="5">
        <f t="shared" si="15"/>
        <v>3.81558028616852</v>
      </c>
      <c r="H63" s="5">
        <f t="shared" si="16"/>
        <v>5.72337042925278</v>
      </c>
      <c r="I63" s="5">
        <f t="shared" si="17"/>
        <v>9.5389507154213</v>
      </c>
      <c r="J63" s="5">
        <f t="shared" si="18"/>
        <v>15.2623211446741</v>
      </c>
      <c r="K63" s="5">
        <f t="shared" si="19"/>
        <v>19.0779014308426</v>
      </c>
      <c r="L63" s="5">
        <f t="shared" si="20"/>
        <v>28.6168521462639</v>
      </c>
      <c r="M63" s="5">
        <f t="shared" si="21"/>
        <v>38.1558028616852</v>
      </c>
      <c r="N63" s="5">
        <f t="shared" si="22"/>
        <v>57.2337042925278</v>
      </c>
      <c r="O63" s="5">
        <f t="shared" si="23"/>
        <v>95.389507154213</v>
      </c>
      <c r="P63" s="5">
        <f t="shared" si="24"/>
        <v>190.779014308426</v>
      </c>
      <c r="Q63" s="28"/>
    </row>
    <row r="64" spans="1:17">
      <c r="A64" s="5"/>
      <c r="B64" s="5">
        <f t="shared" si="13"/>
        <v>12</v>
      </c>
      <c r="C64" s="5"/>
      <c r="D64" s="5" t="s">
        <v>21</v>
      </c>
      <c r="E64" s="5">
        <v>17.7</v>
      </c>
      <c r="F64" s="5">
        <f t="shared" si="14"/>
        <v>6.77966101694915</v>
      </c>
      <c r="G64" s="5">
        <f t="shared" si="15"/>
        <v>13.5593220338983</v>
      </c>
      <c r="H64" s="5">
        <f t="shared" si="16"/>
        <v>20.3389830508475</v>
      </c>
      <c r="I64" s="5">
        <f t="shared" si="17"/>
        <v>33.8983050847458</v>
      </c>
      <c r="J64" s="5">
        <f t="shared" si="18"/>
        <v>54.2372881355932</v>
      </c>
      <c r="K64" s="5">
        <f t="shared" si="19"/>
        <v>67.7966101694915</v>
      </c>
      <c r="L64" s="5">
        <f t="shared" si="20"/>
        <v>101.694915254237</v>
      </c>
      <c r="M64" s="5">
        <f t="shared" si="21"/>
        <v>135.593220338983</v>
      </c>
      <c r="N64" s="5">
        <f t="shared" si="22"/>
        <v>203.389830508475</v>
      </c>
      <c r="O64" s="5">
        <f t="shared" si="23"/>
        <v>338.983050847458</v>
      </c>
      <c r="P64" s="5">
        <f t="shared" si="24"/>
        <v>677.966101694915</v>
      </c>
      <c r="Q64" s="28"/>
    </row>
    <row r="65" spans="1:17">
      <c r="A65" s="5"/>
      <c r="B65" s="5">
        <f t="shared" si="13"/>
        <v>12</v>
      </c>
      <c r="C65" s="5" t="s">
        <v>29</v>
      </c>
      <c r="D65" s="5" t="s">
        <v>15</v>
      </c>
      <c r="E65" s="5">
        <v>13</v>
      </c>
      <c r="F65" s="5">
        <f t="shared" si="14"/>
        <v>9.23076923076923</v>
      </c>
      <c r="G65" s="5">
        <f t="shared" si="15"/>
        <v>18.4615384615385</v>
      </c>
      <c r="H65" s="5">
        <f t="shared" si="16"/>
        <v>27.6923076923077</v>
      </c>
      <c r="I65" s="5">
        <f t="shared" si="17"/>
        <v>46.1538461538462</v>
      </c>
      <c r="J65" s="5">
        <f t="shared" si="18"/>
        <v>73.8461538461538</v>
      </c>
      <c r="K65" s="5">
        <f t="shared" si="19"/>
        <v>92.3076923076923</v>
      </c>
      <c r="L65" s="5">
        <f t="shared" si="20"/>
        <v>138.461538461538</v>
      </c>
      <c r="M65" s="5">
        <f t="shared" si="21"/>
        <v>184.615384615385</v>
      </c>
      <c r="N65" s="5">
        <f t="shared" si="22"/>
        <v>276.923076923077</v>
      </c>
      <c r="O65" s="5">
        <f t="shared" si="23"/>
        <v>461.538461538462</v>
      </c>
      <c r="P65" s="5">
        <f t="shared" si="24"/>
        <v>923.076923076923</v>
      </c>
      <c r="Q65" s="28"/>
    </row>
  </sheetData>
  <mergeCells count="31">
    <mergeCell ref="A6:A13"/>
    <mergeCell ref="A14:A21"/>
    <mergeCell ref="A22:A26"/>
    <mergeCell ref="A27:A31"/>
    <mergeCell ref="A32:A36"/>
    <mergeCell ref="A37:A41"/>
    <mergeCell ref="A42:A50"/>
    <mergeCell ref="A51:A59"/>
    <mergeCell ref="A60:A65"/>
    <mergeCell ref="B6:B65"/>
    <mergeCell ref="C1:C4"/>
    <mergeCell ref="C6:C9"/>
    <mergeCell ref="C10:C11"/>
    <mergeCell ref="C12:C13"/>
    <mergeCell ref="C14:C17"/>
    <mergeCell ref="C18:C19"/>
    <mergeCell ref="C20:C21"/>
    <mergeCell ref="C22:C26"/>
    <mergeCell ref="C27:C31"/>
    <mergeCell ref="C32:C36"/>
    <mergeCell ref="C37:C41"/>
    <mergeCell ref="C42:C46"/>
    <mergeCell ref="C47:C48"/>
    <mergeCell ref="C49:C50"/>
    <mergeCell ref="C51:C55"/>
    <mergeCell ref="C56:C57"/>
    <mergeCell ref="C58:C59"/>
    <mergeCell ref="C60:C64"/>
    <mergeCell ref="A1:B4"/>
    <mergeCell ref="R6:U12"/>
    <mergeCell ref="F1:P4"/>
  </mergeCells>
  <conditionalFormatting sqref="F6:P65">
    <cfRule type="cellIs" dxfId="0" priority="4" operator="lessThan">
      <formula>30</formula>
    </cfRule>
    <cfRule type="cellIs" dxfId="1" priority="3" operator="between">
      <formula>30</formula>
      <formula>50</formula>
    </cfRule>
    <cfRule type="cellIs" dxfId="2" priority="2" operator="between">
      <formula>50</formula>
      <formula>150</formula>
    </cfRule>
    <cfRule type="cellIs" dxfId="3" priority="1" operator="greaterThan">
      <formula>150</formula>
    </cfRule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田志远2</dc:creator>
  <cp:lastModifiedBy>gd09086</cp:lastModifiedBy>
  <dcterms:created xsi:type="dcterms:W3CDTF">2023-05-12T11:15:00Z</dcterms:created>
  <dcterms:modified xsi:type="dcterms:W3CDTF">2025-03-21T09:10:05Z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6A78E9FB89A04D58B387909770E1A0EC_12</vt:lpwstr>
  </property>
</Properties>
</file>